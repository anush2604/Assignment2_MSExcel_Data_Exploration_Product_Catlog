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Entri - Data Analytics\Assignments\Assignement2_Data Exploration\Submission\"/>
    </mc:Choice>
  </mc:AlternateContent>
  <xr:revisionPtr revIDLastSave="0" documentId="13_ncr:1_{5DF3E002-4990-4614-A2CD-B99C0899E117}" xr6:coauthVersionLast="47" xr6:coauthVersionMax="47" xr10:uidLastSave="{00000000-0000-0000-0000-000000000000}"/>
  <bookViews>
    <workbookView xWindow="-98" yWindow="-98" windowWidth="19396" windowHeight="11475" xr2:uid="{3343D0ED-1F31-4B86-BE51-AEFE4595C3A1}"/>
  </bookViews>
  <sheets>
    <sheet name="Raw Data" sheetId="1" r:id="rId1"/>
    <sheet name="Cleaning" sheetId="2" r:id="rId2"/>
    <sheet name="Question 3" sheetId="3" r:id="rId3"/>
    <sheet name="Question 1" sheetId="4" r:id="rId4"/>
    <sheet name="Question 2" sheetId="5" r:id="rId5"/>
    <sheet name="Question 4" sheetId="6" r:id="rId6"/>
    <sheet name="Question 5" sheetId="7" r:id="rId7"/>
    <sheet name="Question 6" sheetId="8" r:id="rId8"/>
  </sheets>
  <definedNames>
    <definedName name="_xlnm._FilterDatabase" localSheetId="1" hidden="1">Cleaning!$A$2:$F$36</definedName>
    <definedName name="_xlnm._FilterDatabase" localSheetId="3" hidden="1">'Question 1'!$A$1:$H$32</definedName>
    <definedName name="_xlnm._FilterDatabase" localSheetId="4" hidden="1">'Question 2'!$A$1:$H$32</definedName>
    <definedName name="_xlnm._FilterDatabase" localSheetId="2" hidden="1">'Question 3'!$B$6:$G$37</definedName>
    <definedName name="_xlnm.Print_Area" localSheetId="1">Cleaning!$A$1:$F$46</definedName>
    <definedName name="_xlnm.Print_Area" localSheetId="3">'Question 1'!$J$5:$O$13</definedName>
    <definedName name="_xlnm.Print_Area" localSheetId="4">'Question 2'!$A$1:$H$32</definedName>
    <definedName name="_xlnm.Print_Area" localSheetId="2">'Question 3'!$B$2:$G$37</definedName>
    <definedName name="_xlnm.Print_Area" localSheetId="5">'Question 4'!$A$1:$I$32</definedName>
    <definedName name="_xlnm.Print_Area" localSheetId="6">'Question 5'!$A$1:$J$32</definedName>
    <definedName name="_xlnm.Print_Area" localSheetId="7">'Question 6'!$K$5:$Q$14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7" l="1"/>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2" i="7"/>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2" i="6"/>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2" i="5"/>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2" i="4"/>
  <c r="K11" i="5"/>
</calcChain>
</file>

<file path=xl/sharedStrings.xml><?xml version="1.0" encoding="utf-8"?>
<sst xmlns="http://schemas.openxmlformats.org/spreadsheetml/2006/main" count="1311" uniqueCount="221">
  <si>
    <t>Product ID</t>
  </si>
  <si>
    <t>Product Name</t>
  </si>
  <si>
    <t>Brand Name</t>
  </si>
  <si>
    <t>Price ($)</t>
  </si>
  <si>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</si>
  <si>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</si>
  <si>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</si>
  <si>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</si>
  <si>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</si>
  <si>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</si>
  <si>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</si>
  <si>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</si>
  <si>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</si>
  <si>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</si>
  <si>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</si>
  <si>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</si>
  <si>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</si>
  <si>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</si>
  <si>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</si>
  <si>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</si>
  <si>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</si>
  <si>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</si>
  <si>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</si>
  <si>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</si>
  <si>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Outdoor</t>
  </si>
  <si>
    <t>07-JUN-UK</t>
  </si>
  <si>
    <t>Headphones</t>
  </si>
  <si>
    <t>Sony</t>
  </si>
  <si>
    <t>19-JUL-UK</t>
  </si>
  <si>
    <t>T-shirt</t>
  </si>
  <si>
    <t>Adidas</t>
  </si>
  <si>
    <t>23-AUG-UK</t>
  </si>
  <si>
    <t>Blender</t>
  </si>
  <si>
    <t>Ninja</t>
  </si>
  <si>
    <t>05-SEP-UK</t>
  </si>
  <si>
    <t>Tablet</t>
  </si>
  <si>
    <t>Apple</t>
  </si>
  <si>
    <t>14-OCT-UK</t>
  </si>
  <si>
    <t>Hiking Boots</t>
  </si>
  <si>
    <t>Timberland</t>
  </si>
  <si>
    <t>17-JUN-IN</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</si>
  <si>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</si>
  <si>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</si>
  <si>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</si>
  <si>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</si>
  <si>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</si>
  <si>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</si>
  <si>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</si>
  <si>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</si>
  <si>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</si>
  <si>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</si>
  <si>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</si>
  <si>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</si>
  <si>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</si>
  <si>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</si>
  <si>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</si>
  <si>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</si>
  <si>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</si>
  <si>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</si>
  <si>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</si>
  <si>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</si>
  <si>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</si>
  <si>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</si>
  <si>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</si>
  <si>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</si>
  <si>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</si>
  <si>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</si>
  <si>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</si>
  <si>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</si>
  <si>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</si>
  <si>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</si>
  <si>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</si>
  <si>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</si>
  <si>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</si>
  <si>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</si>
  <si>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</si>
  <si>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</si>
  <si>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</si>
  <si>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</si>
  <si>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</si>
  <si>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</si>
  <si>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</si>
  <si>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</si>
  <si>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</si>
  <si>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</si>
  <si>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</si>
  <si>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</si>
  <si>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</si>
  <si>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</si>
  <si>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</si>
  <si>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</si>
  <si>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</si>
  <si>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</si>
  <si>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laptop</t>
  </si>
  <si>
    <t>smartphone</t>
  </si>
  <si>
    <t>Electroni</t>
  </si>
  <si>
    <t>headphones</t>
  </si>
  <si>
    <t>3 Duplicate Products found and removed in product table.</t>
  </si>
  <si>
    <t>Identify any duplicate rows within the dataset based on the entirety of each row, and
remove them if any.</t>
  </si>
  <si>
    <t>Question 3 -  Removing Duplicates:</t>
  </si>
  <si>
    <t>1) Check for missing values in the 'Price' column. How would you handle products with missing price information?
2) If there are products with missing categories, propose a strategy to impute or deal with these missing values effectively.</t>
  </si>
  <si>
    <t>Question 1 -  Handling Missing Values:</t>
  </si>
  <si>
    <t>updated_category</t>
  </si>
  <si>
    <t>updated_price</t>
  </si>
  <si>
    <t>=IF(ISBLANK(D2),"0",D2)</t>
  </si>
  <si>
    <t>=IF(ISBLANK(G2),"UNKNOWN",G2)</t>
  </si>
  <si>
    <t>UNKNOWN</t>
  </si>
  <si>
    <t>Question 2 -  Correcting Inconsistent Data:</t>
  </si>
  <si>
    <t>product_name formatting</t>
  </si>
  <si>
    <t>category</t>
  </si>
  <si>
    <t>Unknown</t>
  </si>
  <si>
    <t>T-Shirt</t>
  </si>
  <si>
    <t>1)Split the "Product ID" column into two separate columns for " Manufacturing Date" and "Country Code". Remove unnecessary characters, if any.
2)Merge the "Brand Name" and "Product Name" columns into one column named "Product Brand".</t>
  </si>
  <si>
    <t>Question 4 -  Splitting and Merging Data:</t>
  </si>
  <si>
    <t>Manufacturing_date</t>
  </si>
  <si>
    <t>Country_code</t>
  </si>
  <si>
    <t>Product_brand</t>
  </si>
  <si>
    <t>=LEFT(A6,6)</t>
  </si>
  <si>
    <t>=RIGHT(A6,2)</t>
  </si>
  <si>
    <t>=D2&amp;"-"&amp;E2</t>
  </si>
  <si>
    <t>01-MAR</t>
  </si>
  <si>
    <t>UK</t>
  </si>
  <si>
    <t>Sunglasses-Oakley</t>
  </si>
  <si>
    <t>02-DEC</t>
  </si>
  <si>
    <t>CA</t>
  </si>
  <si>
    <t>Jeans-Levi's</t>
  </si>
  <si>
    <t>03-JUN</t>
  </si>
  <si>
    <t>Sunglasses-Ray-Ban</t>
  </si>
  <si>
    <t>03-MAR</t>
  </si>
  <si>
    <t>US</t>
  </si>
  <si>
    <t>Coffee Maker-Keurig</t>
  </si>
  <si>
    <t>05-SEP</t>
  </si>
  <si>
    <t>Tablet-Apple</t>
  </si>
  <si>
    <t>07-JUN</t>
  </si>
  <si>
    <t>Headphones-Sony</t>
  </si>
  <si>
    <t>07-MAR</t>
  </si>
  <si>
    <t>Dress-Zara</t>
  </si>
  <si>
    <t>08-DEC</t>
  </si>
  <si>
    <t>DE</t>
  </si>
  <si>
    <t>Coffee Maker-Nespresso</t>
  </si>
  <si>
    <t>09-JAN</t>
  </si>
  <si>
    <t>Microwave-Panasonic</t>
  </si>
  <si>
    <t>09-JUL</t>
  </si>
  <si>
    <t>FR</t>
  </si>
  <si>
    <t>Watch-Casio</t>
  </si>
  <si>
    <t>11-APR</t>
  </si>
  <si>
    <t>Smartphone-Samsung</t>
  </si>
  <si>
    <t>11-JUL</t>
  </si>
  <si>
    <t>Blender-Vitamix</t>
  </si>
  <si>
    <t>13-APR</t>
  </si>
  <si>
    <t>Toaster-Hamilton</t>
  </si>
  <si>
    <t>14-AUG</t>
  </si>
  <si>
    <t>Camping Tent-Coleman</t>
  </si>
  <si>
    <t>14-MAY</t>
  </si>
  <si>
    <t>RU</t>
  </si>
  <si>
    <t>Camera-Nikon</t>
  </si>
  <si>
    <t>14-OCT</t>
  </si>
  <si>
    <t>Hiking Boots-Timberland</t>
  </si>
  <si>
    <t>15-FEB</t>
  </si>
  <si>
    <t>Sneakers-Nike</t>
  </si>
  <si>
    <t>16-APR</t>
  </si>
  <si>
    <t>ES</t>
  </si>
  <si>
    <t>Headphones-Bose</t>
  </si>
  <si>
    <t>17-JUN</t>
  </si>
  <si>
    <t>IN</t>
  </si>
  <si>
    <t>Laptop-HP</t>
  </si>
  <si>
    <t>18-FEB</t>
  </si>
  <si>
    <t>Smartwatch-Fitbit</t>
  </si>
  <si>
    <t>19-JUL</t>
  </si>
  <si>
    <t>BR</t>
  </si>
  <si>
    <t>Fitness Tracker-Xiaomi</t>
  </si>
  <si>
    <t>T-Shirt-Adidas</t>
  </si>
  <si>
    <t>20-AUG</t>
  </si>
  <si>
    <t>CN</t>
  </si>
  <si>
    <t>Smartwatch-Huawei</t>
  </si>
  <si>
    <t>21-AUG</t>
  </si>
  <si>
    <t>Laptop Bag-Samsonite</t>
  </si>
  <si>
    <t>22-MAY</t>
  </si>
  <si>
    <t>Backpack-North Face</t>
  </si>
  <si>
    <t>23-AUG</t>
  </si>
  <si>
    <t>Blender-Ninja</t>
  </si>
  <si>
    <t>24-MAY</t>
  </si>
  <si>
    <t>Fitness Tracker-Garmin</t>
  </si>
  <si>
    <t>25-NOV</t>
  </si>
  <si>
    <t>AU</t>
  </si>
  <si>
    <t>Sneakers-Adidas</t>
  </si>
  <si>
    <t>27-JAN</t>
  </si>
  <si>
    <t>IT</t>
  </si>
  <si>
    <t>Laptop-Asus</t>
  </si>
  <si>
    <t>28-JAN</t>
  </si>
  <si>
    <t>Laptop-Dell</t>
  </si>
  <si>
    <t>29-SEP</t>
  </si>
  <si>
    <t>Smartphone-Google</t>
  </si>
  <si>
    <t>Question 5 - Number Formatting:</t>
  </si>
  <si>
    <t>1) Format the data type of the "Price" column to a currency format.
2) Format the "Manufacturing Date" column to display dates in the "DD-MM-YYYY " format.</t>
  </si>
  <si>
    <t>updated_manfact_dt</t>
  </si>
  <si>
    <t>=DATEVALUE(B2)</t>
  </si>
  <si>
    <t>And changed the datatype as custom "dd-mm"</t>
  </si>
  <si>
    <t>1) Apply data bar or color scales conditional formatting in the "Price" column.
2) Create a custom rule for conditional formatting in the "Category" column to highlight cells where the category is "Electronics."</t>
  </si>
  <si>
    <t>Price</t>
  </si>
  <si>
    <t>Go to conditional formatting and click data bar, 
then select the color</t>
  </si>
  <si>
    <t>Go to conditional formatting and click highlight cell rules and click "text that contains", then type "Electronics"</t>
  </si>
  <si>
    <t>Question 6 - Conditional Formatting:</t>
  </si>
  <si>
    <t>Cleaned Data</t>
  </si>
  <si>
    <t xml:space="preserve">ctrl + H ---&gt; find what and replace with ---&gt; corrected the spelling for 
Electronics category name </t>
  </si>
  <si>
    <t>1)Identify any inconsistent text formats present in the "Product Name" column.
2)Identify any typos present in the "Category" column.
3)Use the find and replace function to standardize the text formats in the "Product Name" column and fix any typos or misspellings in the "Category" column.</t>
  </si>
  <si>
    <t>updated_
Product Name</t>
  </si>
  <si>
    <t>updated_
category</t>
  </si>
  <si>
    <t>Brand_name</t>
  </si>
  <si>
    <t>Product_Name</t>
  </si>
  <si>
    <t>updated_
Product_Name</t>
  </si>
  <si>
    <t>Manufact
uring_date</t>
  </si>
  <si>
    <t>updated_Pro
duct Name</t>
  </si>
  <si>
    <t>updated
_category</t>
  </si>
  <si>
    <t>updated
_price</t>
  </si>
  <si>
    <t>Country
_code</t>
  </si>
  <si>
    <t>Manufa
cturing_date</t>
  </si>
  <si>
    <t>updated_
manfact_dt</t>
  </si>
  <si>
    <t>updated_
Product 
Name</t>
  </si>
  <si>
    <t>update
d_price</t>
  </si>
  <si>
    <t>updated_
manfact_
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</si>
</sst>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dd/mm"/>
  </numFmts>
  <fonts count="7" x14ac:knownFonts="1">
    <font>
      <sz val="11"/>
      <color theme="1"/>
      <name val="Calibri"/>
      <family val="2"/>
      <scheme val="minor"/>
    </font>
    <font>
      <sz val="10"/>
      <color rgb="FF000000"/>
      <name val="Calibri"/>
      <family val="2"/>
      <scheme val="minor"/>
    </font>
    <font>
      <sz val="10"/>
      <color rgb="FF000000"/>
      <name val="Calibri"/>
      <scheme val="minor"/>
    </font>
    <font>
      <b/>
      <sz val="10"/>
      <color theme="1"/>
      <name val="Arial"/>
    </font>
    <font>
      <sz val="10"/>
      <color theme="1"/>
      <name val="Arial"/>
    </font>
    <font>
      <b/>
      <sz val="12"/>
      <color theme="1"/>
      <name val="Calibri"/>
      <family val="2"/>
      <scheme val="minor"/>
    </font>
    <font>
      <sz val="12"/>
      <color theme="1"/>
      <name val="Calibri"/>
      <family val="2"/>
      <scheme val="minor"/>
    </font>
  </fonts>
  <fills count="13">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theme="0"/>
        <bgColor indexed="64"/>
      </patternFill>
    </fill>
    <fill>
      <patternFill patternType="solid">
        <fgColor theme="5" tint="0.59999389629810485"/>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79998168889431442"/>
        <bgColor indexed="64"/>
      </patternFill>
    </fill>
    <fill>
      <patternFill patternType="solid">
        <fgColor theme="0"/>
        <bgColor theme="9"/>
      </patternFill>
    </fill>
    <fill>
      <patternFill patternType="solid">
        <fgColor theme="0"/>
        <bgColor theme="9" tint="0.79998168889431442"/>
      </patternFill>
    </fill>
    <fill>
      <patternFill patternType="solid">
        <fgColor theme="7" tint="0.59999389629810485"/>
        <bgColor theme="9" tint="0.79998168889431442"/>
      </patternFill>
    </fill>
    <fill>
      <patternFill patternType="solid">
        <fgColor theme="7" tint="0.59999389629810485"/>
        <bgColor indexed="64"/>
      </patternFill>
    </fill>
  </fills>
  <borders count="7">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2" fillId="0" borderId="0"/>
  </cellStyleXfs>
  <cellXfs count="62">
    <xf numFmtId="0" fontId="0" fillId="0" borderId="0" xfId="0"/>
    <xf numFmtId="0" fontId="3" fillId="2" borderId="0" xfId="2" applyFont="1" applyFill="1" applyAlignment="1">
      <alignment horizontal="center"/>
    </xf>
    <xf numFmtId="0" fontId="4" fillId="0" borderId="0" xfId="2" applyFont="1"/>
    <xf numFmtId="0" fontId="4" fillId="3" borderId="0" xfId="2" applyFont="1" applyFill="1"/>
    <xf numFmtId="0" fontId="0" fillId="12" borderId="4" xfId="0" applyFill="1" applyBorder="1"/>
    <xf numFmtId="0" fontId="5" fillId="0" borderId="4" xfId="0" applyFont="1" applyBorder="1"/>
    <xf numFmtId="0" fontId="6" fillId="0" borderId="4" xfId="0" applyFont="1" applyBorder="1"/>
    <xf numFmtId="0" fontId="6" fillId="5" borderId="4" xfId="0" applyFont="1" applyFill="1" applyBorder="1"/>
    <xf numFmtId="0" fontId="6" fillId="0" borderId="0" xfId="0" applyFont="1"/>
    <xf numFmtId="0" fontId="5" fillId="0" borderId="0" xfId="0" applyFont="1"/>
    <xf numFmtId="0" fontId="5" fillId="9" borderId="4" xfId="0" applyFont="1" applyFill="1" applyBorder="1"/>
    <xf numFmtId="164" fontId="5" fillId="9" borderId="4" xfId="0" applyNumberFormat="1" applyFont="1" applyFill="1" applyBorder="1"/>
    <xf numFmtId="0" fontId="6" fillId="10" borderId="4" xfId="0" applyFont="1" applyFill="1" applyBorder="1"/>
    <xf numFmtId="164" fontId="6" fillId="10" borderId="4" xfId="0" applyNumberFormat="1" applyFont="1" applyFill="1" applyBorder="1" applyAlignment="1">
      <alignment horizontal="right" vertical="top"/>
    </xf>
    <xf numFmtId="0" fontId="6" fillId="0" borderId="4" xfId="0" applyFont="1" applyBorder="1" applyAlignment="1">
      <alignment horizontal="left" vertical="top"/>
    </xf>
    <xf numFmtId="0" fontId="6" fillId="4" borderId="4" xfId="0" applyFont="1" applyFill="1" applyBorder="1"/>
    <xf numFmtId="0" fontId="6" fillId="11" borderId="4" xfId="0" applyFont="1" applyFill="1" applyBorder="1"/>
    <xf numFmtId="164" fontId="6" fillId="11" borderId="4" xfId="0" applyNumberFormat="1" applyFont="1" applyFill="1" applyBorder="1" applyAlignment="1">
      <alignment horizontal="right" vertical="top"/>
    </xf>
    <xf numFmtId="0" fontId="6" fillId="12" borderId="4" xfId="0" applyFont="1" applyFill="1" applyBorder="1"/>
    <xf numFmtId="0" fontId="6" fillId="12" borderId="4" xfId="0" applyFont="1" applyFill="1" applyBorder="1" applyAlignment="1">
      <alignment horizontal="left" vertical="top"/>
    </xf>
    <xf numFmtId="164" fontId="6" fillId="0" borderId="4" xfId="0" applyNumberFormat="1" applyFont="1" applyBorder="1"/>
    <xf numFmtId="164" fontId="6" fillId="0" borderId="0" xfId="0" applyNumberFormat="1" applyFont="1"/>
    <xf numFmtId="0" fontId="6" fillId="0" borderId="0" xfId="0" applyFont="1" applyAlignment="1">
      <alignment vertical="top"/>
    </xf>
    <xf numFmtId="0" fontId="6" fillId="0" borderId="0" xfId="0" applyFont="1" applyAlignment="1">
      <alignment vertical="top" wrapText="1"/>
    </xf>
    <xf numFmtId="0" fontId="0" fillId="0" borderId="4" xfId="0" applyBorder="1"/>
    <xf numFmtId="164" fontId="0" fillId="0" borderId="4" xfId="0" applyNumberFormat="1" applyBorder="1"/>
    <xf numFmtId="0" fontId="0" fillId="0" borderId="4" xfId="0" applyBorder="1" applyAlignment="1">
      <alignment wrapText="1"/>
    </xf>
    <xf numFmtId="0" fontId="6" fillId="7" borderId="1" xfId="0" applyFont="1" applyFill="1" applyBorder="1"/>
    <xf numFmtId="0" fontId="6" fillId="7" borderId="2" xfId="0" applyFont="1" applyFill="1" applyBorder="1"/>
    <xf numFmtId="0" fontId="6" fillId="0" borderId="1" xfId="0" applyFont="1" applyBorder="1"/>
    <xf numFmtId="0" fontId="6" fillId="0" borderId="2" xfId="0" applyFont="1" applyBorder="1"/>
    <xf numFmtId="0" fontId="6" fillId="7" borderId="3" xfId="0" applyFont="1" applyFill="1" applyBorder="1"/>
    <xf numFmtId="0" fontId="6" fillId="7" borderId="4" xfId="0" applyFont="1" applyFill="1" applyBorder="1"/>
    <xf numFmtId="0" fontId="5" fillId="6" borderId="1" xfId="0" applyFont="1" applyFill="1" applyBorder="1"/>
    <xf numFmtId="0" fontId="5" fillId="6" borderId="2" xfId="0" applyFont="1" applyFill="1" applyBorder="1"/>
    <xf numFmtId="14" fontId="6" fillId="0" borderId="4" xfId="0" applyNumberFormat="1" applyFont="1" applyBorder="1"/>
    <xf numFmtId="14" fontId="6" fillId="0" borderId="0" xfId="0" applyNumberFormat="1" applyFont="1"/>
    <xf numFmtId="0" fontId="5" fillId="6" borderId="1" xfId="0" applyFont="1" applyFill="1" applyBorder="1" applyAlignment="1">
      <alignment wrapText="1"/>
    </xf>
    <xf numFmtId="165" fontId="6" fillId="0" borderId="4" xfId="0" applyNumberFormat="1" applyFont="1" applyBorder="1"/>
    <xf numFmtId="165" fontId="6" fillId="0" borderId="0" xfId="0" applyNumberFormat="1" applyFont="1"/>
    <xf numFmtId="0" fontId="5" fillId="6" borderId="4" xfId="0" applyFont="1" applyFill="1" applyBorder="1"/>
    <xf numFmtId="0" fontId="5" fillId="6" borderId="4" xfId="0" applyFont="1" applyFill="1" applyBorder="1" applyAlignment="1">
      <alignment wrapText="1"/>
    </xf>
    <xf numFmtId="165" fontId="5" fillId="6" borderId="4" xfId="0" applyNumberFormat="1" applyFont="1" applyFill="1" applyBorder="1" applyAlignment="1">
      <alignment wrapText="1"/>
    </xf>
    <xf numFmtId="165" fontId="6" fillId="7" borderId="4" xfId="0" applyNumberFormat="1" applyFont="1" applyFill="1" applyBorder="1"/>
    <xf numFmtId="164" fontId="5" fillId="6" borderId="4" xfId="0" applyNumberFormat="1" applyFont="1" applyFill="1" applyBorder="1" applyAlignment="1">
      <alignment wrapText="1"/>
    </xf>
    <xf numFmtId="164" fontId="6" fillId="7" borderId="4" xfId="0" applyNumberFormat="1" applyFont="1" applyFill="1" applyBorder="1"/>
    <xf numFmtId="0" fontId="5" fillId="0" borderId="4"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6" fillId="0" borderId="4" xfId="0" applyFont="1" applyBorder="1" applyAlignment="1">
      <alignment horizontal="center" wrapText="1"/>
    </xf>
    <xf numFmtId="0" fontId="6" fillId="0" borderId="4" xfId="0" applyFont="1" applyBorder="1" applyAlignment="1">
      <alignment horizontal="center"/>
    </xf>
    <xf numFmtId="0" fontId="5" fillId="8" borderId="4" xfId="0" applyFont="1" applyFill="1" applyBorder="1" applyAlignment="1">
      <alignment horizontal="center"/>
    </xf>
    <xf numFmtId="0" fontId="5" fillId="8" borderId="3" xfId="0" applyFont="1" applyFill="1" applyBorder="1" applyAlignment="1">
      <alignment horizontal="center"/>
    </xf>
    <xf numFmtId="0" fontId="5" fillId="8" borderId="5" xfId="0" applyFont="1" applyFill="1" applyBorder="1" applyAlignment="1">
      <alignment horizontal="center"/>
    </xf>
    <xf numFmtId="0" fontId="5" fillId="8" borderId="6" xfId="0" applyFont="1" applyFill="1" applyBorder="1" applyAlignment="1">
      <alignment horizontal="center"/>
    </xf>
    <xf numFmtId="0" fontId="6" fillId="0" borderId="4" xfId="0" applyFont="1" applyBorder="1" applyAlignment="1">
      <alignment horizontal="left" vertical="top" wrapText="1"/>
    </xf>
    <xf numFmtId="0" fontId="6" fillId="0" borderId="4" xfId="0" applyFont="1" applyBorder="1" applyAlignment="1">
      <alignment horizontal="left" vertical="top"/>
    </xf>
    <xf numFmtId="0" fontId="6" fillId="0" borderId="3" xfId="0" applyFont="1" applyBorder="1" applyAlignment="1">
      <alignment horizontal="left" vertical="top"/>
    </xf>
    <xf numFmtId="0" fontId="6" fillId="0" borderId="5" xfId="0" applyFont="1" applyBorder="1" applyAlignment="1">
      <alignment horizontal="left" vertical="top"/>
    </xf>
    <xf numFmtId="0" fontId="6" fillId="0" borderId="6" xfId="0" applyFont="1" applyBorder="1" applyAlignment="1">
      <alignment horizontal="left" vertical="top"/>
    </xf>
    <xf numFmtId="0" fontId="6" fillId="0" borderId="4" xfId="0" applyFont="1" applyBorder="1" applyAlignment="1">
      <alignment wrapText="1"/>
    </xf>
  </cellXfs>
  <cellStyles count="3">
    <cellStyle name="Normal" xfId="0" builtinId="0"/>
    <cellStyle name="Normal 2" xfId="1" xr:uid="{38DEEAC9-2929-45B0-9DA5-2B732EA85D6D}"/>
    <cellStyle name="Normal 3" xfId="2" xr:uid="{523F8B3C-8697-4D07-97E4-D3CE80552F37}"/>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3C275-2541-4993-8A34-2C1115914094}">
  <dimension ref="A1:F35"/>
  <sheetViews>
    <sheetView tabSelected="1" workbookViewId="0">
      <selection activeCell="C15" sqref="C15"/>
    </sheetView>
  </sheetViews>
  <sheetFormatPr defaultRowHeight="14.25" x14ac:dyDescent="0.45"/>
  <cols>
    <col min="1" max="1" width="10.53125" bestFit="1" customWidth="1"/>
    <col min="2" max="2" width="13.3984375" bestFit="1" customWidth="1"/>
    <col min="3" max="3" width="11.6640625" bestFit="1" customWidth="1"/>
    <col min="4" max="4" width="7.9296875" bestFit="1" customWidth="1"/>
    <col min="5" max="5" width="8.1328125" bestFit="1" customWidth="1"/>
    <col min="6" max="6" width="10.59765625" bestFit="1" customWidth="1"/>
  </cols>
  <sheetData>
    <row r="1" spans="1:6" x14ac:dyDescent="0.45">
      <c r="A1" s="1" t="s">
        <v>0</v>
      </c>
      <c r="B1" s="1" t="s">
        <v>1</v>
      </c>
      <c r="C1" s="1" t="s">
        <v>2</v>
      </c>
      <c r="D1" s="1" t="s">
        <v>3</v>
      </c>
      <c r="E1" s="1" t="s">
        <v>4</v>
      </c>
      <c r="F1" s="1" t="s">
        <v>5</v>
      </c>
    </row>
    <row r="2" spans="1:6" x14ac:dyDescent="0.45">
      <c r="A2" s="2" t="s">
        <v>6</v>
      </c>
      <c r="B2" s="2" t="s">
        <v>93</v>
      </c>
      <c r="C2" s="2" t="s">
        <v>8</v>
      </c>
      <c r="D2" s="2">
        <v>1000</v>
      </c>
      <c r="E2" s="2">
        <v>30</v>
      </c>
      <c r="F2" s="2" t="s">
        <v>9</v>
      </c>
    </row>
    <row r="3" spans="1:6" x14ac:dyDescent="0.45">
      <c r="A3" s="3" t="s">
        <v>10</v>
      </c>
      <c r="B3" s="3" t="s">
        <v>11</v>
      </c>
      <c r="C3" s="3" t="s">
        <v>12</v>
      </c>
      <c r="D3" s="3">
        <v>80</v>
      </c>
      <c r="E3" s="3">
        <v>15</v>
      </c>
      <c r="F3" s="3" t="s">
        <v>13</v>
      </c>
    </row>
    <row r="4" spans="1:6" x14ac:dyDescent="0.45">
      <c r="A4" s="2" t="s">
        <v>14</v>
      </c>
      <c r="B4" s="2" t="s">
        <v>15</v>
      </c>
      <c r="C4" s="2" t="s">
        <v>16</v>
      </c>
      <c r="D4" s="2">
        <v>130</v>
      </c>
      <c r="E4" s="2">
        <v>40</v>
      </c>
      <c r="F4" s="2" t="s">
        <v>17</v>
      </c>
    </row>
    <row r="5" spans="1:6" x14ac:dyDescent="0.45">
      <c r="A5" s="3" t="s">
        <v>18</v>
      </c>
      <c r="B5" s="3" t="s">
        <v>94</v>
      </c>
      <c r="C5" s="3" t="s">
        <v>20</v>
      </c>
      <c r="D5" s="3">
        <v>900</v>
      </c>
      <c r="E5" s="3">
        <v>25</v>
      </c>
      <c r="F5" s="3" t="s">
        <v>9</v>
      </c>
    </row>
    <row r="6" spans="1:6" x14ac:dyDescent="0.45">
      <c r="A6" s="2" t="s">
        <v>21</v>
      </c>
      <c r="B6" s="2" t="s">
        <v>22</v>
      </c>
      <c r="C6" s="2" t="s">
        <v>23</v>
      </c>
      <c r="D6" s="2">
        <v>70</v>
      </c>
      <c r="E6" s="2">
        <v>20</v>
      </c>
      <c r="F6" s="2"/>
    </row>
    <row r="7" spans="1:6" x14ac:dyDescent="0.45">
      <c r="A7" s="3" t="s">
        <v>25</v>
      </c>
      <c r="B7" s="3" t="s">
        <v>26</v>
      </c>
      <c r="C7" s="3" t="s">
        <v>27</v>
      </c>
      <c r="D7" s="3"/>
      <c r="E7" s="3">
        <v>45</v>
      </c>
      <c r="F7" s="3" t="s">
        <v>95</v>
      </c>
    </row>
    <row r="8" spans="1:6" x14ac:dyDescent="0.45">
      <c r="A8" s="2" t="s">
        <v>28</v>
      </c>
      <c r="B8" s="2" t="s">
        <v>29</v>
      </c>
      <c r="C8" s="2" t="s">
        <v>30</v>
      </c>
      <c r="D8" s="2">
        <v>30</v>
      </c>
      <c r="E8" s="2">
        <v>5</v>
      </c>
      <c r="F8" s="2" t="s">
        <v>13</v>
      </c>
    </row>
    <row r="9" spans="1:6" x14ac:dyDescent="0.45">
      <c r="A9" s="3" t="s">
        <v>31</v>
      </c>
      <c r="B9" s="3" t="s">
        <v>32</v>
      </c>
      <c r="C9" s="3" t="s">
        <v>33</v>
      </c>
      <c r="D9" s="3">
        <v>90</v>
      </c>
      <c r="E9" s="3">
        <v>35</v>
      </c>
      <c r="F9" s="3" t="s">
        <v>17</v>
      </c>
    </row>
    <row r="10" spans="1:6" x14ac:dyDescent="0.45">
      <c r="A10" s="2" t="s">
        <v>34</v>
      </c>
      <c r="B10" s="2" t="s">
        <v>35</v>
      </c>
      <c r="C10" s="2" t="s">
        <v>36</v>
      </c>
      <c r="D10" s="2">
        <v>500</v>
      </c>
      <c r="E10" s="2">
        <v>50</v>
      </c>
      <c r="F10" s="2" t="s">
        <v>9</v>
      </c>
    </row>
    <row r="11" spans="1:6" x14ac:dyDescent="0.45">
      <c r="A11" s="3" t="s">
        <v>37</v>
      </c>
      <c r="B11" s="3" t="s">
        <v>38</v>
      </c>
      <c r="C11" s="3" t="s">
        <v>39</v>
      </c>
      <c r="D11" s="3">
        <v>130</v>
      </c>
      <c r="E11" s="3">
        <v>10</v>
      </c>
      <c r="F11" s="3" t="s">
        <v>24</v>
      </c>
    </row>
    <row r="12" spans="1:6" x14ac:dyDescent="0.45">
      <c r="A12" s="2" t="s">
        <v>40</v>
      </c>
      <c r="B12" s="2" t="s">
        <v>7</v>
      </c>
      <c r="C12" s="2" t="s">
        <v>41</v>
      </c>
      <c r="D12" s="2">
        <v>950</v>
      </c>
      <c r="E12" s="2">
        <v>25</v>
      </c>
      <c r="F12" s="2" t="s">
        <v>9</v>
      </c>
    </row>
    <row r="13" spans="1:6" x14ac:dyDescent="0.45">
      <c r="A13" s="3" t="s">
        <v>42</v>
      </c>
      <c r="B13" s="3" t="s">
        <v>11</v>
      </c>
      <c r="C13" s="3" t="s">
        <v>30</v>
      </c>
      <c r="D13" s="3">
        <v>90</v>
      </c>
      <c r="E13" s="3">
        <v>40</v>
      </c>
      <c r="F13" s="3"/>
    </row>
    <row r="14" spans="1:6" x14ac:dyDescent="0.45">
      <c r="A14" s="2" t="s">
        <v>43</v>
      </c>
      <c r="B14" s="2" t="s">
        <v>15</v>
      </c>
      <c r="C14" s="2" t="s">
        <v>44</v>
      </c>
      <c r="D14" s="2">
        <v>120</v>
      </c>
      <c r="E14" s="2">
        <v>35</v>
      </c>
      <c r="F14" s="2"/>
    </row>
    <row r="15" spans="1:6" x14ac:dyDescent="0.45">
      <c r="A15" s="3" t="s">
        <v>45</v>
      </c>
      <c r="B15" s="3" t="s">
        <v>46</v>
      </c>
      <c r="C15" s="3" t="s">
        <v>47</v>
      </c>
      <c r="D15" s="3">
        <v>150</v>
      </c>
      <c r="E15" s="3">
        <v>15</v>
      </c>
      <c r="F15" s="3" t="s">
        <v>95</v>
      </c>
    </row>
    <row r="16" spans="1:6" x14ac:dyDescent="0.45">
      <c r="A16" s="2" t="s">
        <v>48</v>
      </c>
      <c r="B16" s="2" t="s">
        <v>96</v>
      </c>
      <c r="C16" s="2" t="s">
        <v>49</v>
      </c>
      <c r="D16" s="2">
        <v>250</v>
      </c>
      <c r="E16" s="2">
        <v>20</v>
      </c>
      <c r="F16" s="2" t="s">
        <v>95</v>
      </c>
    </row>
    <row r="17" spans="1:6" x14ac:dyDescent="0.45">
      <c r="A17" s="3" t="s">
        <v>50</v>
      </c>
      <c r="B17" s="3" t="s">
        <v>51</v>
      </c>
      <c r="C17" s="3" t="s">
        <v>52</v>
      </c>
      <c r="D17" s="3">
        <v>50</v>
      </c>
      <c r="E17" s="3">
        <v>35</v>
      </c>
      <c r="F17" s="3" t="s">
        <v>53</v>
      </c>
    </row>
    <row r="18" spans="1:6" x14ac:dyDescent="0.45">
      <c r="A18" s="2" t="s">
        <v>54</v>
      </c>
      <c r="B18" s="2" t="s">
        <v>46</v>
      </c>
      <c r="C18" s="2" t="s">
        <v>55</v>
      </c>
      <c r="D18" s="2">
        <v>160</v>
      </c>
      <c r="E18" s="2">
        <v>15</v>
      </c>
      <c r="F18" s="2" t="s">
        <v>95</v>
      </c>
    </row>
    <row r="19" spans="1:6" x14ac:dyDescent="0.45">
      <c r="A19" s="3" t="s">
        <v>56</v>
      </c>
      <c r="B19" s="3" t="s">
        <v>93</v>
      </c>
      <c r="C19" s="3" t="s">
        <v>57</v>
      </c>
      <c r="D19" s="3">
        <v>980</v>
      </c>
      <c r="E19" s="3">
        <v>10</v>
      </c>
      <c r="F19" s="3" t="s">
        <v>9</v>
      </c>
    </row>
    <row r="20" spans="1:6" x14ac:dyDescent="0.45">
      <c r="A20" s="2" t="s">
        <v>58</v>
      </c>
      <c r="B20" s="2" t="s">
        <v>59</v>
      </c>
      <c r="C20" s="2" t="s">
        <v>60</v>
      </c>
      <c r="D20" s="2">
        <v>150</v>
      </c>
      <c r="E20" s="2">
        <v>15</v>
      </c>
      <c r="F20" s="2" t="s">
        <v>13</v>
      </c>
    </row>
    <row r="21" spans="1:6" x14ac:dyDescent="0.45">
      <c r="A21" s="3" t="s">
        <v>61</v>
      </c>
      <c r="B21" s="3" t="s">
        <v>62</v>
      </c>
      <c r="C21" s="3" t="s">
        <v>63</v>
      </c>
      <c r="D21" s="3"/>
      <c r="E21" s="3">
        <v>10</v>
      </c>
      <c r="F21" s="3" t="s">
        <v>24</v>
      </c>
    </row>
    <row r="22" spans="1:6" x14ac:dyDescent="0.45">
      <c r="A22" s="2" t="s">
        <v>64</v>
      </c>
      <c r="B22" s="2" t="s">
        <v>65</v>
      </c>
      <c r="C22" s="2" t="s">
        <v>66</v>
      </c>
      <c r="D22" s="2">
        <v>700</v>
      </c>
      <c r="E22" s="2">
        <v>50</v>
      </c>
      <c r="F22" s="2" t="s">
        <v>9</v>
      </c>
    </row>
    <row r="23" spans="1:6" x14ac:dyDescent="0.45">
      <c r="A23" s="3" t="s">
        <v>67</v>
      </c>
      <c r="B23" s="3" t="s">
        <v>68</v>
      </c>
      <c r="C23" s="3" t="s">
        <v>69</v>
      </c>
      <c r="D23" s="3">
        <v>80</v>
      </c>
      <c r="E23" s="3">
        <v>20</v>
      </c>
      <c r="F23" s="3" t="s">
        <v>17</v>
      </c>
    </row>
    <row r="24" spans="1:6" x14ac:dyDescent="0.45">
      <c r="A24" s="2" t="s">
        <v>70</v>
      </c>
      <c r="B24" s="2" t="s">
        <v>71</v>
      </c>
      <c r="C24" s="2" t="s">
        <v>72</v>
      </c>
      <c r="D24" s="2">
        <v>150</v>
      </c>
      <c r="E24" s="2">
        <v>30</v>
      </c>
      <c r="F24" s="2"/>
    </row>
    <row r="25" spans="1:6" x14ac:dyDescent="0.45">
      <c r="A25" s="3" t="s">
        <v>50</v>
      </c>
      <c r="B25" s="3" t="s">
        <v>51</v>
      </c>
      <c r="C25" s="3" t="s">
        <v>52</v>
      </c>
      <c r="D25" s="3">
        <v>50</v>
      </c>
      <c r="E25" s="3">
        <v>35</v>
      </c>
      <c r="F25" s="3" t="s">
        <v>53</v>
      </c>
    </row>
    <row r="26" spans="1:6" x14ac:dyDescent="0.45">
      <c r="A26" s="2" t="s">
        <v>73</v>
      </c>
      <c r="B26" s="2" t="s">
        <v>19</v>
      </c>
      <c r="C26" s="2" t="s">
        <v>74</v>
      </c>
      <c r="D26" s="2">
        <v>800</v>
      </c>
      <c r="E26" s="2">
        <v>45</v>
      </c>
      <c r="F26" s="2" t="s">
        <v>9</v>
      </c>
    </row>
    <row r="27" spans="1:6" x14ac:dyDescent="0.45">
      <c r="A27" s="3" t="s">
        <v>75</v>
      </c>
      <c r="B27" s="3" t="s">
        <v>59</v>
      </c>
      <c r="C27" s="3" t="s">
        <v>76</v>
      </c>
      <c r="D27" s="3"/>
      <c r="E27" s="3">
        <v>25</v>
      </c>
      <c r="F27" s="3" t="s">
        <v>13</v>
      </c>
    </row>
    <row r="28" spans="1:6" x14ac:dyDescent="0.45">
      <c r="A28" s="2" t="s">
        <v>77</v>
      </c>
      <c r="B28" s="2" t="s">
        <v>32</v>
      </c>
      <c r="C28" s="2" t="s">
        <v>78</v>
      </c>
      <c r="D28" s="2">
        <v>400</v>
      </c>
      <c r="E28" s="2">
        <v>40</v>
      </c>
      <c r="F28" s="2" t="s">
        <v>17</v>
      </c>
    </row>
    <row r="29" spans="1:6" x14ac:dyDescent="0.45">
      <c r="A29" s="3" t="s">
        <v>48</v>
      </c>
      <c r="B29" s="3" t="s">
        <v>96</v>
      </c>
      <c r="C29" s="3" t="s">
        <v>49</v>
      </c>
      <c r="D29" s="3">
        <v>250</v>
      </c>
      <c r="E29" s="3">
        <v>20</v>
      </c>
      <c r="F29" s="3" t="s">
        <v>95</v>
      </c>
    </row>
    <row r="30" spans="1:6" x14ac:dyDescent="0.45">
      <c r="A30" s="2" t="s">
        <v>79</v>
      </c>
      <c r="B30" s="2" t="s">
        <v>80</v>
      </c>
      <c r="C30" s="2" t="s">
        <v>81</v>
      </c>
      <c r="D30" s="2">
        <v>60</v>
      </c>
      <c r="E30" s="2">
        <v>30</v>
      </c>
      <c r="F30" s="2" t="s">
        <v>13</v>
      </c>
    </row>
    <row r="31" spans="1:6" x14ac:dyDescent="0.45">
      <c r="A31" s="3" t="s">
        <v>82</v>
      </c>
      <c r="B31" s="3" t="s">
        <v>83</v>
      </c>
      <c r="C31" s="3" t="s">
        <v>84</v>
      </c>
      <c r="D31" s="3">
        <v>40</v>
      </c>
      <c r="E31" s="3">
        <v>10</v>
      </c>
      <c r="F31" s="3" t="s">
        <v>17</v>
      </c>
    </row>
    <row r="32" spans="1:6" x14ac:dyDescent="0.45">
      <c r="A32" s="2" t="s">
        <v>85</v>
      </c>
      <c r="B32" s="2" t="s">
        <v>71</v>
      </c>
      <c r="C32" s="2" t="s">
        <v>86</v>
      </c>
      <c r="D32" s="2">
        <v>130</v>
      </c>
      <c r="E32" s="2">
        <v>5</v>
      </c>
      <c r="F32" s="2" t="s">
        <v>9</v>
      </c>
    </row>
    <row r="33" spans="1:6" x14ac:dyDescent="0.45">
      <c r="A33" s="3" t="s">
        <v>87</v>
      </c>
      <c r="B33" s="3" t="s">
        <v>88</v>
      </c>
      <c r="C33" s="3" t="s">
        <v>89</v>
      </c>
      <c r="D33" s="3">
        <v>50</v>
      </c>
      <c r="E33" s="3">
        <v>50</v>
      </c>
      <c r="F33" s="3" t="s">
        <v>13</v>
      </c>
    </row>
    <row r="34" spans="1:6" x14ac:dyDescent="0.45">
      <c r="A34" s="2" t="s">
        <v>40</v>
      </c>
      <c r="B34" s="2" t="s">
        <v>7</v>
      </c>
      <c r="C34" s="2" t="s">
        <v>41</v>
      </c>
      <c r="D34" s="2">
        <v>950</v>
      </c>
      <c r="E34" s="2">
        <v>25</v>
      </c>
      <c r="F34" s="2" t="s">
        <v>9</v>
      </c>
    </row>
    <row r="35" spans="1:6" x14ac:dyDescent="0.45">
      <c r="A35" s="3" t="s">
        <v>90</v>
      </c>
      <c r="B35" s="3" t="s">
        <v>91</v>
      </c>
      <c r="C35" s="3" t="s">
        <v>92</v>
      </c>
      <c r="D35" s="3">
        <v>100</v>
      </c>
      <c r="E35" s="3">
        <v>20</v>
      </c>
      <c r="F35" s="3"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CF4E9-E24B-4F92-B1CD-A9460842A88A}">
  <dimension ref="A1:F46"/>
  <sheetViews>
    <sheetView topLeftCell="A31" zoomScaleNormal="100" workbookViewId="0">
      <selection sqref="A1:F1"/>
    </sheetView>
  </sheetViews>
  <sheetFormatPr defaultRowHeight="15.75" x14ac:dyDescent="0.5"/>
  <cols>
    <col min="1" max="1" width="12.19921875" style="8" bestFit="1" customWidth="1"/>
    <col min="2" max="2" width="15.59765625" style="8" bestFit="1" customWidth="1"/>
    <col min="3" max="3" width="13.9296875" style="8" bestFit="1" customWidth="1"/>
    <col min="4" max="4" width="10.1328125" style="8" bestFit="1" customWidth="1"/>
    <col min="5" max="5" width="10.73046875" style="8" bestFit="1" customWidth="1"/>
    <col min="6" max="6" width="10.9296875" style="8" bestFit="1" customWidth="1"/>
    <col min="7" max="16384" width="9.06640625" style="8"/>
  </cols>
  <sheetData>
    <row r="1" spans="1:6" x14ac:dyDescent="0.5">
      <c r="A1" s="46" t="s">
        <v>203</v>
      </c>
      <c r="B1" s="46"/>
      <c r="C1" s="46"/>
      <c r="D1" s="46"/>
      <c r="E1" s="46"/>
      <c r="F1" s="46"/>
    </row>
    <row r="2" spans="1:6" x14ac:dyDescent="0.5">
      <c r="A2" s="5" t="s">
        <v>0</v>
      </c>
      <c r="B2" s="5" t="s">
        <v>1</v>
      </c>
      <c r="C2" s="5" t="s">
        <v>2</v>
      </c>
      <c r="D2" s="5" t="s">
        <v>3</v>
      </c>
      <c r="E2" s="5" t="s">
        <v>4</v>
      </c>
      <c r="F2" s="5" t="s">
        <v>5</v>
      </c>
    </row>
    <row r="3" spans="1:6" x14ac:dyDescent="0.5">
      <c r="A3" s="6" t="s">
        <v>58</v>
      </c>
      <c r="B3" s="6" t="s">
        <v>59</v>
      </c>
      <c r="C3" s="6" t="s">
        <v>60</v>
      </c>
      <c r="D3" s="6">
        <v>150</v>
      </c>
      <c r="E3" s="6">
        <v>15</v>
      </c>
      <c r="F3" s="6" t="s">
        <v>13</v>
      </c>
    </row>
    <row r="4" spans="1:6" x14ac:dyDescent="0.5">
      <c r="A4" s="6" t="s">
        <v>87</v>
      </c>
      <c r="B4" s="6" t="s">
        <v>88</v>
      </c>
      <c r="C4" s="6" t="s">
        <v>89</v>
      </c>
      <c r="D4" s="6">
        <v>50</v>
      </c>
      <c r="E4" s="6">
        <v>50</v>
      </c>
      <c r="F4" s="6" t="s">
        <v>13</v>
      </c>
    </row>
    <row r="5" spans="1:6" x14ac:dyDescent="0.5">
      <c r="A5" s="6" t="s">
        <v>75</v>
      </c>
      <c r="B5" s="6" t="s">
        <v>59</v>
      </c>
      <c r="C5" s="6" t="s">
        <v>76</v>
      </c>
      <c r="D5" s="6"/>
      <c r="E5" s="6">
        <v>25</v>
      </c>
      <c r="F5" s="6" t="s">
        <v>13</v>
      </c>
    </row>
    <row r="6" spans="1:6" x14ac:dyDescent="0.5">
      <c r="A6" s="6" t="s">
        <v>14</v>
      </c>
      <c r="B6" s="6" t="s">
        <v>15</v>
      </c>
      <c r="C6" s="6" t="s">
        <v>16</v>
      </c>
      <c r="D6" s="6">
        <v>130</v>
      </c>
      <c r="E6" s="6">
        <v>40</v>
      </c>
      <c r="F6" s="6" t="s">
        <v>17</v>
      </c>
    </row>
    <row r="7" spans="1:6" x14ac:dyDescent="0.5">
      <c r="A7" s="6" t="s">
        <v>34</v>
      </c>
      <c r="B7" s="6" t="s">
        <v>35</v>
      </c>
      <c r="C7" s="6" t="s">
        <v>36</v>
      </c>
      <c r="D7" s="6">
        <v>500</v>
      </c>
      <c r="E7" s="6">
        <v>50</v>
      </c>
      <c r="F7" s="6" t="s">
        <v>9</v>
      </c>
    </row>
    <row r="8" spans="1:6" x14ac:dyDescent="0.5">
      <c r="A8" s="6" t="s">
        <v>25</v>
      </c>
      <c r="B8" s="6" t="s">
        <v>26</v>
      </c>
      <c r="C8" s="6" t="s">
        <v>27</v>
      </c>
      <c r="D8" s="6"/>
      <c r="E8" s="6">
        <v>45</v>
      </c>
      <c r="F8" s="6" t="s">
        <v>95</v>
      </c>
    </row>
    <row r="9" spans="1:6" x14ac:dyDescent="0.5">
      <c r="A9" s="6" t="s">
        <v>79</v>
      </c>
      <c r="B9" s="6" t="s">
        <v>80</v>
      </c>
      <c r="C9" s="6" t="s">
        <v>81</v>
      </c>
      <c r="D9" s="6">
        <v>60</v>
      </c>
      <c r="E9" s="6">
        <v>30</v>
      </c>
      <c r="F9" s="6" t="s">
        <v>13</v>
      </c>
    </row>
    <row r="10" spans="1:6" x14ac:dyDescent="0.5">
      <c r="A10" s="6" t="s">
        <v>43</v>
      </c>
      <c r="B10" s="6" t="s">
        <v>15</v>
      </c>
      <c r="C10" s="6" t="s">
        <v>44</v>
      </c>
      <c r="D10" s="6">
        <v>120</v>
      </c>
      <c r="E10" s="6">
        <v>35</v>
      </c>
      <c r="F10" s="6"/>
    </row>
    <row r="11" spans="1:6" x14ac:dyDescent="0.5">
      <c r="A11" s="6" t="s">
        <v>67</v>
      </c>
      <c r="B11" s="6" t="s">
        <v>68</v>
      </c>
      <c r="C11" s="6" t="s">
        <v>69</v>
      </c>
      <c r="D11" s="6">
        <v>80</v>
      </c>
      <c r="E11" s="6">
        <v>20</v>
      </c>
      <c r="F11" s="6" t="s">
        <v>17</v>
      </c>
    </row>
    <row r="12" spans="1:6" x14ac:dyDescent="0.5">
      <c r="A12" s="6" t="s">
        <v>90</v>
      </c>
      <c r="B12" s="6" t="s">
        <v>91</v>
      </c>
      <c r="C12" s="6" t="s">
        <v>92</v>
      </c>
      <c r="D12" s="6">
        <v>100</v>
      </c>
      <c r="E12" s="6">
        <v>20</v>
      </c>
      <c r="F12" s="6" t="s">
        <v>53</v>
      </c>
    </row>
    <row r="13" spans="1:6" x14ac:dyDescent="0.5">
      <c r="A13" s="6" t="s">
        <v>18</v>
      </c>
      <c r="B13" s="6" t="s">
        <v>94</v>
      </c>
      <c r="C13" s="6" t="s">
        <v>20</v>
      </c>
      <c r="D13" s="6">
        <v>900</v>
      </c>
      <c r="E13" s="6">
        <v>25</v>
      </c>
      <c r="F13" s="6" t="s">
        <v>9</v>
      </c>
    </row>
    <row r="14" spans="1:6" x14ac:dyDescent="0.5">
      <c r="A14" s="6" t="s">
        <v>77</v>
      </c>
      <c r="B14" s="6" t="s">
        <v>32</v>
      </c>
      <c r="C14" s="6" t="s">
        <v>78</v>
      </c>
      <c r="D14" s="6">
        <v>400</v>
      </c>
      <c r="E14" s="6">
        <v>40</v>
      </c>
      <c r="F14" s="6" t="s">
        <v>17</v>
      </c>
    </row>
    <row r="15" spans="1:6" x14ac:dyDescent="0.5">
      <c r="A15" s="6" t="s">
        <v>82</v>
      </c>
      <c r="B15" s="6" t="s">
        <v>83</v>
      </c>
      <c r="C15" s="6" t="s">
        <v>84</v>
      </c>
      <c r="D15" s="6">
        <v>40</v>
      </c>
      <c r="E15" s="6">
        <v>10</v>
      </c>
      <c r="F15" s="6" t="s">
        <v>17</v>
      </c>
    </row>
    <row r="16" spans="1:6" x14ac:dyDescent="0.5">
      <c r="A16" s="6" t="s">
        <v>61</v>
      </c>
      <c r="B16" s="6" t="s">
        <v>62</v>
      </c>
      <c r="C16" s="6" t="s">
        <v>63</v>
      </c>
      <c r="D16" s="6"/>
      <c r="E16" s="6">
        <v>10</v>
      </c>
      <c r="F16" s="6" t="s">
        <v>24</v>
      </c>
    </row>
    <row r="17" spans="1:6" x14ac:dyDescent="0.5">
      <c r="A17" s="6" t="s">
        <v>64</v>
      </c>
      <c r="B17" s="6" t="s">
        <v>65</v>
      </c>
      <c r="C17" s="6" t="s">
        <v>66</v>
      </c>
      <c r="D17" s="6">
        <v>700</v>
      </c>
      <c r="E17" s="6">
        <v>50</v>
      </c>
      <c r="F17" s="6" t="s">
        <v>9</v>
      </c>
    </row>
    <row r="18" spans="1:6" x14ac:dyDescent="0.5">
      <c r="A18" s="6" t="s">
        <v>37</v>
      </c>
      <c r="B18" s="6" t="s">
        <v>38</v>
      </c>
      <c r="C18" s="6" t="s">
        <v>39</v>
      </c>
      <c r="D18" s="6">
        <v>130</v>
      </c>
      <c r="E18" s="6">
        <v>10</v>
      </c>
      <c r="F18" s="6" t="s">
        <v>24</v>
      </c>
    </row>
    <row r="19" spans="1:6" x14ac:dyDescent="0.5">
      <c r="A19" s="6" t="s">
        <v>10</v>
      </c>
      <c r="B19" s="6" t="s">
        <v>11</v>
      </c>
      <c r="C19" s="6" t="s">
        <v>12</v>
      </c>
      <c r="D19" s="6">
        <v>80</v>
      </c>
      <c r="E19" s="6">
        <v>15</v>
      </c>
      <c r="F19" s="6" t="s">
        <v>13</v>
      </c>
    </row>
    <row r="20" spans="1:6" x14ac:dyDescent="0.5">
      <c r="A20" s="7" t="s">
        <v>48</v>
      </c>
      <c r="B20" s="7" t="s">
        <v>96</v>
      </c>
      <c r="C20" s="7" t="s">
        <v>49</v>
      </c>
      <c r="D20" s="7">
        <v>250</v>
      </c>
      <c r="E20" s="7">
        <v>20</v>
      </c>
      <c r="F20" s="7" t="s">
        <v>95</v>
      </c>
    </row>
    <row r="21" spans="1:6" x14ac:dyDescent="0.5">
      <c r="A21" s="7" t="s">
        <v>48</v>
      </c>
      <c r="B21" s="7" t="s">
        <v>96</v>
      </c>
      <c r="C21" s="7" t="s">
        <v>49</v>
      </c>
      <c r="D21" s="7">
        <v>250</v>
      </c>
      <c r="E21" s="7">
        <v>20</v>
      </c>
      <c r="F21" s="7" t="s">
        <v>95</v>
      </c>
    </row>
    <row r="22" spans="1:6" x14ac:dyDescent="0.5">
      <c r="A22" s="7" t="s">
        <v>40</v>
      </c>
      <c r="B22" s="7" t="s">
        <v>7</v>
      </c>
      <c r="C22" s="7" t="s">
        <v>41</v>
      </c>
      <c r="D22" s="7">
        <v>950</v>
      </c>
      <c r="E22" s="7">
        <v>25</v>
      </c>
      <c r="F22" s="7" t="s">
        <v>9</v>
      </c>
    </row>
    <row r="23" spans="1:6" x14ac:dyDescent="0.5">
      <c r="A23" s="7" t="s">
        <v>40</v>
      </c>
      <c r="B23" s="7" t="s">
        <v>7</v>
      </c>
      <c r="C23" s="7" t="s">
        <v>41</v>
      </c>
      <c r="D23" s="7">
        <v>950</v>
      </c>
      <c r="E23" s="7">
        <v>25</v>
      </c>
      <c r="F23" s="7" t="s">
        <v>9</v>
      </c>
    </row>
    <row r="24" spans="1:6" x14ac:dyDescent="0.5">
      <c r="A24" s="6" t="s">
        <v>45</v>
      </c>
      <c r="B24" s="6" t="s">
        <v>46</v>
      </c>
      <c r="C24" s="6" t="s">
        <v>47</v>
      </c>
      <c r="D24" s="6">
        <v>150</v>
      </c>
      <c r="E24" s="6">
        <v>15</v>
      </c>
      <c r="F24" s="6" t="s">
        <v>95</v>
      </c>
    </row>
    <row r="25" spans="1:6" x14ac:dyDescent="0.5">
      <c r="A25" s="6" t="s">
        <v>70</v>
      </c>
      <c r="B25" s="6" t="s">
        <v>71</v>
      </c>
      <c r="C25" s="6" t="s">
        <v>72</v>
      </c>
      <c r="D25" s="6">
        <v>150</v>
      </c>
      <c r="E25" s="6">
        <v>30</v>
      </c>
      <c r="F25" s="6"/>
    </row>
    <row r="26" spans="1:6" x14ac:dyDescent="0.5">
      <c r="A26" s="6" t="s">
        <v>28</v>
      </c>
      <c r="B26" s="6" t="s">
        <v>29</v>
      </c>
      <c r="C26" s="6" t="s">
        <v>30</v>
      </c>
      <c r="D26" s="6">
        <v>30</v>
      </c>
      <c r="E26" s="6">
        <v>5</v>
      </c>
      <c r="F26" s="6" t="s">
        <v>13</v>
      </c>
    </row>
    <row r="27" spans="1:6" x14ac:dyDescent="0.5">
      <c r="A27" s="6" t="s">
        <v>54</v>
      </c>
      <c r="B27" s="6" t="s">
        <v>46</v>
      </c>
      <c r="C27" s="6" t="s">
        <v>55</v>
      </c>
      <c r="D27" s="6">
        <v>160</v>
      </c>
      <c r="E27" s="6">
        <v>15</v>
      </c>
      <c r="F27" s="6" t="s">
        <v>95</v>
      </c>
    </row>
    <row r="28" spans="1:6" x14ac:dyDescent="0.5">
      <c r="A28" s="7" t="s">
        <v>50</v>
      </c>
      <c r="B28" s="7" t="s">
        <v>51</v>
      </c>
      <c r="C28" s="7" t="s">
        <v>52</v>
      </c>
      <c r="D28" s="7">
        <v>50</v>
      </c>
      <c r="E28" s="7">
        <v>35</v>
      </c>
      <c r="F28" s="7" t="s">
        <v>53</v>
      </c>
    </row>
    <row r="29" spans="1:6" x14ac:dyDescent="0.5">
      <c r="A29" s="7" t="s">
        <v>50</v>
      </c>
      <c r="B29" s="7" t="s">
        <v>51</v>
      </c>
      <c r="C29" s="7" t="s">
        <v>52</v>
      </c>
      <c r="D29" s="7">
        <v>50</v>
      </c>
      <c r="E29" s="7">
        <v>35</v>
      </c>
      <c r="F29" s="7" t="s">
        <v>53</v>
      </c>
    </row>
    <row r="30" spans="1:6" x14ac:dyDescent="0.5">
      <c r="A30" s="6" t="s">
        <v>21</v>
      </c>
      <c r="B30" s="6" t="s">
        <v>22</v>
      </c>
      <c r="C30" s="6" t="s">
        <v>23</v>
      </c>
      <c r="D30" s="6">
        <v>70</v>
      </c>
      <c r="E30" s="6">
        <v>20</v>
      </c>
      <c r="F30" s="6"/>
    </row>
    <row r="31" spans="1:6" x14ac:dyDescent="0.5">
      <c r="A31" s="6" t="s">
        <v>31</v>
      </c>
      <c r="B31" s="6" t="s">
        <v>32</v>
      </c>
      <c r="C31" s="6" t="s">
        <v>33</v>
      </c>
      <c r="D31" s="6">
        <v>90</v>
      </c>
      <c r="E31" s="6">
        <v>35</v>
      </c>
      <c r="F31" s="6" t="s">
        <v>17</v>
      </c>
    </row>
    <row r="32" spans="1:6" x14ac:dyDescent="0.5">
      <c r="A32" s="6" t="s">
        <v>85</v>
      </c>
      <c r="B32" s="6" t="s">
        <v>71</v>
      </c>
      <c r="C32" s="6" t="s">
        <v>86</v>
      </c>
      <c r="D32" s="6">
        <v>130</v>
      </c>
      <c r="E32" s="6">
        <v>5</v>
      </c>
      <c r="F32" s="6" t="s">
        <v>9</v>
      </c>
    </row>
    <row r="33" spans="1:6" x14ac:dyDescent="0.5">
      <c r="A33" s="6" t="s">
        <v>42</v>
      </c>
      <c r="B33" s="6" t="s">
        <v>11</v>
      </c>
      <c r="C33" s="6" t="s">
        <v>30</v>
      </c>
      <c r="D33" s="6">
        <v>90</v>
      </c>
      <c r="E33" s="6">
        <v>40</v>
      </c>
      <c r="F33" s="6"/>
    </row>
    <row r="34" spans="1:6" x14ac:dyDescent="0.5">
      <c r="A34" s="6" t="s">
        <v>56</v>
      </c>
      <c r="B34" s="6" t="s">
        <v>93</v>
      </c>
      <c r="C34" s="6" t="s">
        <v>57</v>
      </c>
      <c r="D34" s="6">
        <v>980</v>
      </c>
      <c r="E34" s="6">
        <v>10</v>
      </c>
      <c r="F34" s="6" t="s">
        <v>9</v>
      </c>
    </row>
    <row r="35" spans="1:6" x14ac:dyDescent="0.5">
      <c r="A35" s="6" t="s">
        <v>6</v>
      </c>
      <c r="B35" s="6" t="s">
        <v>93</v>
      </c>
      <c r="C35" s="6" t="s">
        <v>8</v>
      </c>
      <c r="D35" s="6">
        <v>1000</v>
      </c>
      <c r="E35" s="6">
        <v>30</v>
      </c>
      <c r="F35" s="6" t="s">
        <v>9</v>
      </c>
    </row>
    <row r="36" spans="1:6" x14ac:dyDescent="0.5">
      <c r="A36" s="6" t="s">
        <v>73</v>
      </c>
      <c r="B36" s="6" t="s">
        <v>19</v>
      </c>
      <c r="C36" s="6" t="s">
        <v>74</v>
      </c>
      <c r="D36" s="6">
        <v>800</v>
      </c>
      <c r="E36" s="6">
        <v>45</v>
      </c>
      <c r="F36" s="6" t="s">
        <v>9</v>
      </c>
    </row>
    <row r="39" spans="1:6" x14ac:dyDescent="0.5">
      <c r="A39" s="47" t="s">
        <v>97</v>
      </c>
      <c r="B39" s="48"/>
      <c r="C39" s="48"/>
      <c r="D39" s="48"/>
      <c r="E39" s="48"/>
      <c r="F39" s="49"/>
    </row>
    <row r="40" spans="1:6" s="9" customFormat="1" x14ac:dyDescent="0.5">
      <c r="A40" s="5" t="s">
        <v>0</v>
      </c>
      <c r="B40" s="5" t="s">
        <v>1</v>
      </c>
      <c r="C40" s="5" t="s">
        <v>2</v>
      </c>
      <c r="D40" s="5" t="s">
        <v>3</v>
      </c>
      <c r="E40" s="5" t="s">
        <v>4</v>
      </c>
      <c r="F40" s="5" t="s">
        <v>5</v>
      </c>
    </row>
    <row r="41" spans="1:6" x14ac:dyDescent="0.5">
      <c r="A41" s="6" t="s">
        <v>48</v>
      </c>
      <c r="B41" s="6" t="s">
        <v>96</v>
      </c>
      <c r="C41" s="6" t="s">
        <v>49</v>
      </c>
      <c r="D41" s="6">
        <v>250</v>
      </c>
      <c r="E41" s="6">
        <v>20</v>
      </c>
      <c r="F41" s="6" t="s">
        <v>95</v>
      </c>
    </row>
    <row r="42" spans="1:6" x14ac:dyDescent="0.5">
      <c r="A42" s="6" t="s">
        <v>48</v>
      </c>
      <c r="B42" s="6" t="s">
        <v>96</v>
      </c>
      <c r="C42" s="6" t="s">
        <v>49</v>
      </c>
      <c r="D42" s="6">
        <v>250</v>
      </c>
      <c r="E42" s="6">
        <v>20</v>
      </c>
      <c r="F42" s="6" t="s">
        <v>95</v>
      </c>
    </row>
    <row r="43" spans="1:6" x14ac:dyDescent="0.5">
      <c r="A43" s="6" t="s">
        <v>40</v>
      </c>
      <c r="B43" s="6" t="s">
        <v>7</v>
      </c>
      <c r="C43" s="6" t="s">
        <v>41</v>
      </c>
      <c r="D43" s="6">
        <v>950</v>
      </c>
      <c r="E43" s="6">
        <v>25</v>
      </c>
      <c r="F43" s="6" t="s">
        <v>9</v>
      </c>
    </row>
    <row r="44" spans="1:6" x14ac:dyDescent="0.5">
      <c r="A44" s="6" t="s">
        <v>40</v>
      </c>
      <c r="B44" s="6" t="s">
        <v>7</v>
      </c>
      <c r="C44" s="6" t="s">
        <v>41</v>
      </c>
      <c r="D44" s="6">
        <v>950</v>
      </c>
      <c r="E44" s="6">
        <v>25</v>
      </c>
      <c r="F44" s="6" t="s">
        <v>9</v>
      </c>
    </row>
    <row r="45" spans="1:6" x14ac:dyDescent="0.5">
      <c r="A45" s="6" t="s">
        <v>50</v>
      </c>
      <c r="B45" s="6" t="s">
        <v>51</v>
      </c>
      <c r="C45" s="6" t="s">
        <v>52</v>
      </c>
      <c r="D45" s="6">
        <v>50</v>
      </c>
      <c r="E45" s="6">
        <v>35</v>
      </c>
      <c r="F45" s="6" t="s">
        <v>53</v>
      </c>
    </row>
    <row r="46" spans="1:6" x14ac:dyDescent="0.5">
      <c r="A46" s="6" t="s">
        <v>50</v>
      </c>
      <c r="B46" s="6" t="s">
        <v>51</v>
      </c>
      <c r="C46" s="6" t="s">
        <v>52</v>
      </c>
      <c r="D46" s="6">
        <v>50</v>
      </c>
      <c r="E46" s="6">
        <v>35</v>
      </c>
      <c r="F46" s="6" t="s">
        <v>53</v>
      </c>
    </row>
  </sheetData>
  <autoFilter ref="A2:F36" xr:uid="{CE5CF4E9-E24B-4F92-B1CD-A9460842A88A}">
    <sortState xmlns:xlrd2="http://schemas.microsoft.com/office/spreadsheetml/2017/richdata2" ref="A3:F36">
      <sortCondition ref="A2:A36"/>
    </sortState>
  </autoFilter>
  <mergeCells count="2">
    <mergeCell ref="A1:F1"/>
    <mergeCell ref="A39:F39"/>
  </mergeCells>
  <conditionalFormatting sqref="A40:F40">
    <cfRule type="duplicateValues" dxfId="3" priority="3"/>
  </conditionalFormatting>
  <conditionalFormatting sqref="A41:F44">
    <cfRule type="duplicateValues" dxfId="2" priority="2"/>
  </conditionalFormatting>
  <conditionalFormatting sqref="A45:F46">
    <cfRule type="duplicateValues" dxfId="1" priority="1"/>
  </conditionalFormatting>
  <printOptions horizontalCentered="1" verticalCentered="1"/>
  <pageMargins left="0.70866141732283472" right="0.70866141732283472" top="0.74803149606299213" bottom="0.74803149606299213" header="0.31496062992125984" footer="0.31496062992125984"/>
  <pageSetup paperSize="9" scale="110" orientation="portrait" r:id="rId1"/>
  <rowBreaks count="1" manualBreakCount="1">
    <brk id="37"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4D6A-26AD-4341-8F2A-3AD2EC4221C2}">
  <dimension ref="B2:L38"/>
  <sheetViews>
    <sheetView topLeftCell="A2" workbookViewId="0">
      <selection activeCell="J28" sqref="J28"/>
    </sheetView>
  </sheetViews>
  <sheetFormatPr defaultRowHeight="14.25" x14ac:dyDescent="0.45"/>
  <cols>
    <col min="1" max="2" width="10.9296875" bestFit="1" customWidth="1"/>
    <col min="3" max="3" width="13.9296875" bestFit="1" customWidth="1"/>
    <col min="4" max="4" width="11.73046875" bestFit="1" customWidth="1"/>
    <col min="5" max="5" width="7.9296875" bestFit="1" customWidth="1"/>
    <col min="6" max="6" width="8.53125" bestFit="1" customWidth="1"/>
    <col min="7" max="7" width="10.9296875" bestFit="1" customWidth="1"/>
  </cols>
  <sheetData>
    <row r="2" spans="2:12" ht="15.75" x14ac:dyDescent="0.5">
      <c r="B2" s="52" t="s">
        <v>99</v>
      </c>
      <c r="C2" s="52"/>
      <c r="D2" s="52"/>
      <c r="E2" s="52"/>
      <c r="F2" s="52"/>
    </row>
    <row r="3" spans="2:12" x14ac:dyDescent="0.45">
      <c r="B3" s="50" t="s">
        <v>98</v>
      </c>
      <c r="C3" s="51"/>
      <c r="D3" s="51"/>
      <c r="E3" s="51"/>
      <c r="F3" s="51"/>
    </row>
    <row r="4" spans="2:12" x14ac:dyDescent="0.45">
      <c r="B4" s="51"/>
      <c r="C4" s="51"/>
      <c r="D4" s="51"/>
      <c r="E4" s="51"/>
      <c r="F4" s="51"/>
    </row>
    <row r="6" spans="2:12" ht="15.75" x14ac:dyDescent="0.5">
      <c r="B6" s="33" t="s">
        <v>0</v>
      </c>
      <c r="C6" s="33" t="s">
        <v>1</v>
      </c>
      <c r="D6" s="33" t="s">
        <v>2</v>
      </c>
      <c r="E6" s="33" t="s">
        <v>3</v>
      </c>
      <c r="F6" s="33" t="s">
        <v>4</v>
      </c>
      <c r="G6" s="34" t="s">
        <v>5</v>
      </c>
    </row>
    <row r="7" spans="2:12" ht="15.75" x14ac:dyDescent="0.5">
      <c r="B7" s="27" t="s">
        <v>58</v>
      </c>
      <c r="C7" s="27" t="s">
        <v>59</v>
      </c>
      <c r="D7" s="27" t="s">
        <v>60</v>
      </c>
      <c r="E7" s="27">
        <v>150</v>
      </c>
      <c r="F7" s="27">
        <v>15</v>
      </c>
      <c r="G7" s="28" t="s">
        <v>13</v>
      </c>
      <c r="H7" s="8"/>
      <c r="I7" s="8"/>
      <c r="J7" s="8"/>
      <c r="K7" s="8"/>
      <c r="L7" s="8"/>
    </row>
    <row r="8" spans="2:12" ht="15.75" x14ac:dyDescent="0.5">
      <c r="B8" s="29" t="s">
        <v>87</v>
      </c>
      <c r="C8" s="29" t="s">
        <v>88</v>
      </c>
      <c r="D8" s="29" t="s">
        <v>89</v>
      </c>
      <c r="E8" s="29">
        <v>50</v>
      </c>
      <c r="F8" s="29">
        <v>50</v>
      </c>
      <c r="G8" s="30" t="s">
        <v>13</v>
      </c>
      <c r="H8" s="8"/>
      <c r="I8" s="8"/>
      <c r="J8" s="8"/>
      <c r="K8" s="8"/>
      <c r="L8" s="8"/>
    </row>
    <row r="9" spans="2:12" ht="15.75" x14ac:dyDescent="0.5">
      <c r="B9" s="27" t="s">
        <v>75</v>
      </c>
      <c r="C9" s="27" t="s">
        <v>59</v>
      </c>
      <c r="D9" s="27" t="s">
        <v>76</v>
      </c>
      <c r="E9" s="27"/>
      <c r="F9" s="27">
        <v>25</v>
      </c>
      <c r="G9" s="28" t="s">
        <v>13</v>
      </c>
      <c r="H9" s="8"/>
      <c r="I9" s="8"/>
      <c r="J9" s="8"/>
      <c r="K9" s="8"/>
      <c r="L9" s="8"/>
    </row>
    <row r="10" spans="2:12" ht="15.75" x14ac:dyDescent="0.5">
      <c r="B10" s="29" t="s">
        <v>14</v>
      </c>
      <c r="C10" s="29" t="s">
        <v>15</v>
      </c>
      <c r="D10" s="29" t="s">
        <v>16</v>
      </c>
      <c r="E10" s="29">
        <v>130</v>
      </c>
      <c r="F10" s="29">
        <v>40</v>
      </c>
      <c r="G10" s="30" t="s">
        <v>17</v>
      </c>
    </row>
    <row r="11" spans="2:12" ht="15.75" x14ac:dyDescent="0.5">
      <c r="B11" s="27" t="s">
        <v>34</v>
      </c>
      <c r="C11" s="27" t="s">
        <v>35</v>
      </c>
      <c r="D11" s="27" t="s">
        <v>36</v>
      </c>
      <c r="E11" s="27">
        <v>500</v>
      </c>
      <c r="F11" s="27">
        <v>50</v>
      </c>
      <c r="G11" s="28" t="s">
        <v>9</v>
      </c>
    </row>
    <row r="12" spans="2:12" ht="15.75" x14ac:dyDescent="0.5">
      <c r="B12" s="29" t="s">
        <v>25</v>
      </c>
      <c r="C12" s="29" t="s">
        <v>26</v>
      </c>
      <c r="D12" s="29" t="s">
        <v>27</v>
      </c>
      <c r="E12" s="29"/>
      <c r="F12" s="29">
        <v>45</v>
      </c>
      <c r="G12" s="30" t="s">
        <v>95</v>
      </c>
    </row>
    <row r="13" spans="2:12" ht="15.75" x14ac:dyDescent="0.5">
      <c r="B13" s="27" t="s">
        <v>79</v>
      </c>
      <c r="C13" s="27" t="s">
        <v>80</v>
      </c>
      <c r="D13" s="27" t="s">
        <v>81</v>
      </c>
      <c r="E13" s="27">
        <v>60</v>
      </c>
      <c r="F13" s="27">
        <v>30</v>
      </c>
      <c r="G13" s="28" t="s">
        <v>13</v>
      </c>
      <c r="H13" s="8"/>
      <c r="I13" s="8"/>
      <c r="J13" s="8"/>
      <c r="K13" s="8"/>
      <c r="L13" s="8"/>
    </row>
    <row r="14" spans="2:12" ht="15.75" x14ac:dyDescent="0.5">
      <c r="B14" s="29" t="s">
        <v>43</v>
      </c>
      <c r="C14" s="29" t="s">
        <v>15</v>
      </c>
      <c r="D14" s="29" t="s">
        <v>44</v>
      </c>
      <c r="E14" s="29">
        <v>120</v>
      </c>
      <c r="F14" s="29">
        <v>35</v>
      </c>
      <c r="G14" s="30"/>
      <c r="H14" s="8"/>
      <c r="I14" s="8"/>
      <c r="J14" s="8"/>
      <c r="K14" s="8"/>
      <c r="L14" s="8"/>
    </row>
    <row r="15" spans="2:12" ht="15.75" x14ac:dyDescent="0.5">
      <c r="B15" s="27" t="s">
        <v>67</v>
      </c>
      <c r="C15" s="27" t="s">
        <v>68</v>
      </c>
      <c r="D15" s="27" t="s">
        <v>69</v>
      </c>
      <c r="E15" s="27">
        <v>80</v>
      </c>
      <c r="F15" s="27">
        <v>20</v>
      </c>
      <c r="G15" s="28" t="s">
        <v>17</v>
      </c>
      <c r="H15" s="8"/>
      <c r="I15" s="8"/>
      <c r="J15" s="8"/>
      <c r="K15" s="8"/>
      <c r="L15" s="8"/>
    </row>
    <row r="16" spans="2:12" ht="15.75" x14ac:dyDescent="0.5">
      <c r="B16" s="29" t="s">
        <v>90</v>
      </c>
      <c r="C16" s="29" t="s">
        <v>91</v>
      </c>
      <c r="D16" s="29" t="s">
        <v>92</v>
      </c>
      <c r="E16" s="29">
        <v>100</v>
      </c>
      <c r="F16" s="29">
        <v>20</v>
      </c>
      <c r="G16" s="30" t="s">
        <v>53</v>
      </c>
      <c r="H16" s="8"/>
      <c r="I16" s="8"/>
      <c r="J16" s="8"/>
      <c r="K16" s="8"/>
      <c r="L16" s="8"/>
    </row>
    <row r="17" spans="2:12" ht="15.75" x14ac:dyDescent="0.5">
      <c r="B17" s="27" t="s">
        <v>18</v>
      </c>
      <c r="C17" s="27" t="s">
        <v>94</v>
      </c>
      <c r="D17" s="27" t="s">
        <v>20</v>
      </c>
      <c r="E17" s="27">
        <v>900</v>
      </c>
      <c r="F17" s="27">
        <v>25</v>
      </c>
      <c r="G17" s="28" t="s">
        <v>9</v>
      </c>
      <c r="H17" s="8"/>
      <c r="I17" s="8"/>
      <c r="J17" s="8"/>
      <c r="K17" s="8"/>
      <c r="L17" s="8"/>
    </row>
    <row r="18" spans="2:12" ht="15.75" x14ac:dyDescent="0.5">
      <c r="B18" s="29" t="s">
        <v>77</v>
      </c>
      <c r="C18" s="29" t="s">
        <v>32</v>
      </c>
      <c r="D18" s="29" t="s">
        <v>78</v>
      </c>
      <c r="E18" s="29">
        <v>400</v>
      </c>
      <c r="F18" s="29">
        <v>40</v>
      </c>
      <c r="G18" s="30" t="s">
        <v>17</v>
      </c>
      <c r="H18" s="8"/>
      <c r="I18" s="8"/>
      <c r="J18" s="8"/>
      <c r="K18" s="8"/>
      <c r="L18" s="8"/>
    </row>
    <row r="19" spans="2:12" ht="15.75" x14ac:dyDescent="0.5">
      <c r="B19" s="27" t="s">
        <v>82</v>
      </c>
      <c r="C19" s="27" t="s">
        <v>83</v>
      </c>
      <c r="D19" s="27" t="s">
        <v>84</v>
      </c>
      <c r="E19" s="27">
        <v>40</v>
      </c>
      <c r="F19" s="27">
        <v>10</v>
      </c>
      <c r="G19" s="28" t="s">
        <v>17</v>
      </c>
      <c r="H19" s="8"/>
      <c r="I19" s="8"/>
      <c r="J19" s="8"/>
      <c r="K19" s="8"/>
      <c r="L19" s="8"/>
    </row>
    <row r="20" spans="2:12" ht="15.75" x14ac:dyDescent="0.5">
      <c r="B20" s="29" t="s">
        <v>61</v>
      </c>
      <c r="C20" s="29" t="s">
        <v>62</v>
      </c>
      <c r="D20" s="29" t="s">
        <v>63</v>
      </c>
      <c r="E20" s="29"/>
      <c r="F20" s="29">
        <v>10</v>
      </c>
      <c r="G20" s="30" t="s">
        <v>24</v>
      </c>
      <c r="H20" s="8"/>
      <c r="I20" s="8"/>
      <c r="J20" s="8"/>
      <c r="K20" s="8"/>
      <c r="L20" s="8"/>
    </row>
    <row r="21" spans="2:12" ht="15.75" x14ac:dyDescent="0.5">
      <c r="B21" s="27" t="s">
        <v>64</v>
      </c>
      <c r="C21" s="27" t="s">
        <v>65</v>
      </c>
      <c r="D21" s="27" t="s">
        <v>66</v>
      </c>
      <c r="E21" s="27">
        <v>700</v>
      </c>
      <c r="F21" s="27">
        <v>50</v>
      </c>
      <c r="G21" s="28" t="s">
        <v>9</v>
      </c>
      <c r="H21" s="8"/>
      <c r="I21" s="8"/>
      <c r="J21" s="8"/>
      <c r="K21" s="8"/>
      <c r="L21" s="8"/>
    </row>
    <row r="22" spans="2:12" ht="15.75" x14ac:dyDescent="0.5">
      <c r="B22" s="29" t="s">
        <v>37</v>
      </c>
      <c r="C22" s="29" t="s">
        <v>38</v>
      </c>
      <c r="D22" s="29" t="s">
        <v>39</v>
      </c>
      <c r="E22" s="29">
        <v>130</v>
      </c>
      <c r="F22" s="29">
        <v>10</v>
      </c>
      <c r="G22" s="30" t="s">
        <v>24</v>
      </c>
      <c r="H22" s="8"/>
      <c r="I22" s="8"/>
      <c r="J22" s="8"/>
      <c r="K22" s="8"/>
      <c r="L22" s="8"/>
    </row>
    <row r="23" spans="2:12" ht="15.75" x14ac:dyDescent="0.5">
      <c r="B23" s="27" t="s">
        <v>10</v>
      </c>
      <c r="C23" s="27" t="s">
        <v>11</v>
      </c>
      <c r="D23" s="27" t="s">
        <v>12</v>
      </c>
      <c r="E23" s="27">
        <v>80</v>
      </c>
      <c r="F23" s="27">
        <v>15</v>
      </c>
      <c r="G23" s="28" t="s">
        <v>13</v>
      </c>
      <c r="H23" s="8"/>
      <c r="I23" s="8"/>
      <c r="J23" s="8"/>
      <c r="K23" s="8"/>
      <c r="L23" s="8"/>
    </row>
    <row r="24" spans="2:12" ht="15.75" x14ac:dyDescent="0.5">
      <c r="B24" s="29" t="s">
        <v>48</v>
      </c>
      <c r="C24" s="29" t="s">
        <v>96</v>
      </c>
      <c r="D24" s="29" t="s">
        <v>49</v>
      </c>
      <c r="E24" s="29">
        <v>250</v>
      </c>
      <c r="F24" s="29">
        <v>20</v>
      </c>
      <c r="G24" s="30" t="s">
        <v>95</v>
      </c>
      <c r="H24" s="8"/>
      <c r="I24" s="8"/>
      <c r="J24" s="8"/>
      <c r="K24" s="8"/>
      <c r="L24" s="8"/>
    </row>
    <row r="25" spans="2:12" ht="15.75" x14ac:dyDescent="0.5">
      <c r="B25" s="27" t="s">
        <v>40</v>
      </c>
      <c r="C25" s="27" t="s">
        <v>7</v>
      </c>
      <c r="D25" s="27" t="s">
        <v>41</v>
      </c>
      <c r="E25" s="27">
        <v>950</v>
      </c>
      <c r="F25" s="27">
        <v>25</v>
      </c>
      <c r="G25" s="28" t="s">
        <v>9</v>
      </c>
      <c r="H25" s="8"/>
      <c r="I25" s="8"/>
      <c r="J25" s="8"/>
      <c r="K25" s="8"/>
      <c r="L25" s="8"/>
    </row>
    <row r="26" spans="2:12" ht="15.75" x14ac:dyDescent="0.5">
      <c r="B26" s="29" t="s">
        <v>45</v>
      </c>
      <c r="C26" s="29" t="s">
        <v>46</v>
      </c>
      <c r="D26" s="29" t="s">
        <v>47</v>
      </c>
      <c r="E26" s="29">
        <v>150</v>
      </c>
      <c r="F26" s="29">
        <v>15</v>
      </c>
      <c r="G26" s="30" t="s">
        <v>95</v>
      </c>
      <c r="H26" s="8"/>
      <c r="I26" s="8"/>
      <c r="J26" s="8"/>
      <c r="K26" s="8"/>
      <c r="L26" s="8"/>
    </row>
    <row r="27" spans="2:12" ht="15.75" x14ac:dyDescent="0.5">
      <c r="B27" s="27" t="s">
        <v>70</v>
      </c>
      <c r="C27" s="27" t="s">
        <v>71</v>
      </c>
      <c r="D27" s="27" t="s">
        <v>72</v>
      </c>
      <c r="E27" s="27">
        <v>150</v>
      </c>
      <c r="F27" s="27">
        <v>30</v>
      </c>
      <c r="G27" s="28"/>
      <c r="H27" s="8"/>
      <c r="I27" s="8"/>
      <c r="J27" s="8"/>
      <c r="K27" s="8"/>
      <c r="L27" s="8"/>
    </row>
    <row r="28" spans="2:12" ht="15.75" x14ac:dyDescent="0.5">
      <c r="B28" s="29" t="s">
        <v>28</v>
      </c>
      <c r="C28" s="29" t="s">
        <v>29</v>
      </c>
      <c r="D28" s="29" t="s">
        <v>30</v>
      </c>
      <c r="E28" s="29">
        <v>30</v>
      </c>
      <c r="F28" s="29">
        <v>5</v>
      </c>
      <c r="G28" s="30" t="s">
        <v>13</v>
      </c>
      <c r="H28" s="8"/>
      <c r="I28" s="8"/>
      <c r="J28" s="8"/>
      <c r="K28" s="8"/>
      <c r="L28" s="8"/>
    </row>
    <row r="29" spans="2:12" ht="15.75" x14ac:dyDescent="0.5">
      <c r="B29" s="27" t="s">
        <v>54</v>
      </c>
      <c r="C29" s="27" t="s">
        <v>46</v>
      </c>
      <c r="D29" s="27" t="s">
        <v>55</v>
      </c>
      <c r="E29" s="27">
        <v>160</v>
      </c>
      <c r="F29" s="27">
        <v>15</v>
      </c>
      <c r="G29" s="28" t="s">
        <v>95</v>
      </c>
      <c r="H29" s="8"/>
      <c r="I29" s="8"/>
      <c r="J29" s="8"/>
      <c r="K29" s="8"/>
      <c r="L29" s="8"/>
    </row>
    <row r="30" spans="2:12" ht="15.75" x14ac:dyDescent="0.5">
      <c r="B30" s="29" t="s">
        <v>50</v>
      </c>
      <c r="C30" s="29" t="s">
        <v>51</v>
      </c>
      <c r="D30" s="29" t="s">
        <v>52</v>
      </c>
      <c r="E30" s="29">
        <v>50</v>
      </c>
      <c r="F30" s="29">
        <v>35</v>
      </c>
      <c r="G30" s="30" t="s">
        <v>53</v>
      </c>
      <c r="H30" s="8"/>
      <c r="I30" s="8"/>
      <c r="J30" s="8"/>
      <c r="K30" s="8"/>
      <c r="L30" s="8"/>
    </row>
    <row r="31" spans="2:12" ht="15.75" x14ac:dyDescent="0.5">
      <c r="B31" s="27" t="s">
        <v>21</v>
      </c>
      <c r="C31" s="27" t="s">
        <v>22</v>
      </c>
      <c r="D31" s="27" t="s">
        <v>23</v>
      </c>
      <c r="E31" s="27">
        <v>70</v>
      </c>
      <c r="F31" s="27">
        <v>20</v>
      </c>
      <c r="G31" s="28"/>
      <c r="H31" s="8"/>
      <c r="I31" s="8"/>
      <c r="J31" s="8"/>
      <c r="K31" s="8"/>
      <c r="L31" s="8"/>
    </row>
    <row r="32" spans="2:12" ht="15.75" x14ac:dyDescent="0.5">
      <c r="B32" s="29" t="s">
        <v>31</v>
      </c>
      <c r="C32" s="29" t="s">
        <v>32</v>
      </c>
      <c r="D32" s="29" t="s">
        <v>33</v>
      </c>
      <c r="E32" s="29">
        <v>90</v>
      </c>
      <c r="F32" s="29">
        <v>35</v>
      </c>
      <c r="G32" s="30" t="s">
        <v>17</v>
      </c>
      <c r="H32" s="8"/>
      <c r="I32" s="8"/>
      <c r="J32" s="8"/>
      <c r="K32" s="8"/>
      <c r="L32" s="8"/>
    </row>
    <row r="33" spans="2:12" ht="15.75" x14ac:dyDescent="0.5">
      <c r="B33" s="27" t="s">
        <v>85</v>
      </c>
      <c r="C33" s="27" t="s">
        <v>71</v>
      </c>
      <c r="D33" s="27" t="s">
        <v>86</v>
      </c>
      <c r="E33" s="27">
        <v>130</v>
      </c>
      <c r="F33" s="27">
        <v>5</v>
      </c>
      <c r="G33" s="28" t="s">
        <v>9</v>
      </c>
      <c r="H33" s="8"/>
      <c r="I33" s="8"/>
      <c r="J33" s="8"/>
      <c r="K33" s="8"/>
      <c r="L33" s="8"/>
    </row>
    <row r="34" spans="2:12" ht="15.75" x14ac:dyDescent="0.5">
      <c r="B34" s="29" t="s">
        <v>42</v>
      </c>
      <c r="C34" s="29" t="s">
        <v>11</v>
      </c>
      <c r="D34" s="29" t="s">
        <v>30</v>
      </c>
      <c r="E34" s="29">
        <v>90</v>
      </c>
      <c r="F34" s="29">
        <v>40</v>
      </c>
      <c r="G34" s="30"/>
      <c r="H34" s="8"/>
      <c r="I34" s="8"/>
      <c r="J34" s="8"/>
      <c r="K34" s="8"/>
      <c r="L34" s="8"/>
    </row>
    <row r="35" spans="2:12" ht="15.75" x14ac:dyDescent="0.5">
      <c r="B35" s="27" t="s">
        <v>56</v>
      </c>
      <c r="C35" s="27" t="s">
        <v>93</v>
      </c>
      <c r="D35" s="27" t="s">
        <v>57</v>
      </c>
      <c r="E35" s="27">
        <v>980</v>
      </c>
      <c r="F35" s="27">
        <v>10</v>
      </c>
      <c r="G35" s="28" t="s">
        <v>9</v>
      </c>
      <c r="H35" s="8"/>
      <c r="I35" s="8"/>
      <c r="J35" s="8"/>
      <c r="K35" s="8"/>
      <c r="L35" s="8"/>
    </row>
    <row r="36" spans="2:12" ht="15.75" x14ac:dyDescent="0.5">
      <c r="B36" s="29" t="s">
        <v>6</v>
      </c>
      <c r="C36" s="29" t="s">
        <v>93</v>
      </c>
      <c r="D36" s="29" t="s">
        <v>8</v>
      </c>
      <c r="E36" s="29">
        <v>1000</v>
      </c>
      <c r="F36" s="29">
        <v>30</v>
      </c>
      <c r="G36" s="30" t="s">
        <v>9</v>
      </c>
      <c r="H36" s="8"/>
      <c r="I36" s="8"/>
      <c r="J36" s="8"/>
      <c r="K36" s="8"/>
      <c r="L36" s="8"/>
    </row>
    <row r="37" spans="2:12" ht="15.75" x14ac:dyDescent="0.5">
      <c r="B37" s="31" t="s">
        <v>73</v>
      </c>
      <c r="C37" s="31" t="s">
        <v>19</v>
      </c>
      <c r="D37" s="31" t="s">
        <v>74</v>
      </c>
      <c r="E37" s="31">
        <v>800</v>
      </c>
      <c r="F37" s="31">
        <v>45</v>
      </c>
      <c r="G37" s="32" t="s">
        <v>9</v>
      </c>
      <c r="H37" s="8"/>
      <c r="I37" s="8"/>
      <c r="J37" s="8"/>
      <c r="K37" s="8"/>
      <c r="L37" s="8"/>
    </row>
    <row r="38" spans="2:12" ht="15.75" x14ac:dyDescent="0.5">
      <c r="G38" s="8"/>
      <c r="H38" s="8"/>
      <c r="I38" s="8"/>
      <c r="J38" s="8"/>
      <c r="K38" s="8"/>
      <c r="L38" s="8"/>
    </row>
  </sheetData>
  <mergeCells count="2">
    <mergeCell ref="B3:F4"/>
    <mergeCell ref="B2:F2"/>
  </mergeCells>
  <printOptions horizontalCentered="1" verticalCentered="1"/>
  <pageMargins left="0.70866141732283472" right="0.70866141732283472" top="0.74803149606299213" bottom="0.74803149606299213" header="0.31496062992125984" footer="0.31496062992125984"/>
  <pageSetup paperSize="9" scale="11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9EDE-EF2B-443F-B7DA-C6D1DDE7AC53}">
  <dimension ref="A1:O32"/>
  <sheetViews>
    <sheetView zoomScaleNormal="100" workbookViewId="0">
      <selection activeCell="H9" sqref="H9"/>
    </sheetView>
  </sheetViews>
  <sheetFormatPr defaultRowHeight="15.75" x14ac:dyDescent="0.5"/>
  <cols>
    <col min="1" max="1" width="10.9296875" style="8" bestFit="1" customWidth="1"/>
    <col min="2" max="2" width="16.73046875" style="8" bestFit="1" customWidth="1"/>
    <col min="3" max="3" width="11.73046875" style="8" bestFit="1" customWidth="1"/>
    <col min="4" max="4" width="7.9296875" style="8" bestFit="1" customWidth="1"/>
    <col min="5" max="5" width="13.59765625" style="8" bestFit="1" customWidth="1"/>
    <col min="6" max="6" width="8.53125" style="8" bestFit="1" customWidth="1"/>
    <col min="7" max="7" width="10.9296875" style="8" bestFit="1" customWidth="1"/>
    <col min="8" max="8" width="16.9296875" style="8" bestFit="1" customWidth="1"/>
    <col min="9" max="9" width="9.06640625" style="8"/>
    <col min="10" max="10" width="16.73046875" style="8" bestFit="1" customWidth="1"/>
    <col min="11" max="16384" width="9.06640625" style="8"/>
  </cols>
  <sheetData>
    <row r="1" spans="1:15" x14ac:dyDescent="0.5">
      <c r="A1" s="10" t="s">
        <v>0</v>
      </c>
      <c r="B1" s="10" t="s">
        <v>1</v>
      </c>
      <c r="C1" s="10" t="s">
        <v>2</v>
      </c>
      <c r="D1" s="10" t="s">
        <v>3</v>
      </c>
      <c r="E1" s="11" t="s">
        <v>103</v>
      </c>
      <c r="F1" s="10" t="s">
        <v>4</v>
      </c>
      <c r="G1" s="10" t="s">
        <v>5</v>
      </c>
      <c r="H1" s="10" t="s">
        <v>102</v>
      </c>
    </row>
    <row r="2" spans="1:15" x14ac:dyDescent="0.5">
      <c r="A2" s="12" t="s">
        <v>58</v>
      </c>
      <c r="B2" s="12" t="s">
        <v>59</v>
      </c>
      <c r="C2" s="12" t="s">
        <v>60</v>
      </c>
      <c r="D2" s="12">
        <v>150</v>
      </c>
      <c r="E2" s="13">
        <f>IF(ISBLANK(D2),"0",D2)</f>
        <v>150</v>
      </c>
      <c r="F2" s="12">
        <v>15</v>
      </c>
      <c r="G2" s="12" t="s">
        <v>13</v>
      </c>
      <c r="H2" s="14" t="str">
        <f>IF(ISBLANK(G2),"UNKNOWN",G2)</f>
        <v>Fashion</v>
      </c>
    </row>
    <row r="3" spans="1:15" x14ac:dyDescent="0.5">
      <c r="A3" s="15" t="s">
        <v>87</v>
      </c>
      <c r="B3" s="15" t="s">
        <v>88</v>
      </c>
      <c r="C3" s="15" t="s">
        <v>89</v>
      </c>
      <c r="D3" s="15">
        <v>50</v>
      </c>
      <c r="E3" s="13">
        <f t="shared" ref="E3:E32" si="0">IF(ISBLANK(D3),"0",D3)</f>
        <v>50</v>
      </c>
      <c r="F3" s="15">
        <v>50</v>
      </c>
      <c r="G3" s="15" t="s">
        <v>13</v>
      </c>
      <c r="H3" s="14" t="str">
        <f t="shared" ref="H3:H32" si="1">IF(ISBLANK(G3),"UNKNOWN",G3)</f>
        <v>Fashion</v>
      </c>
    </row>
    <row r="4" spans="1:15" x14ac:dyDescent="0.5">
      <c r="A4" s="12" t="s">
        <v>75</v>
      </c>
      <c r="B4" s="12" t="s">
        <v>59</v>
      </c>
      <c r="C4" s="12" t="s">
        <v>76</v>
      </c>
      <c r="D4" s="16"/>
      <c r="E4" s="17" t="str">
        <f t="shared" si="0"/>
        <v>0</v>
      </c>
      <c r="F4" s="12">
        <v>25</v>
      </c>
      <c r="G4" s="12" t="s">
        <v>13</v>
      </c>
      <c r="H4" s="14" t="str">
        <f t="shared" si="1"/>
        <v>Fashion</v>
      </c>
    </row>
    <row r="5" spans="1:15" ht="14.25" customHeight="1" x14ac:dyDescent="0.5">
      <c r="A5" s="15" t="s">
        <v>14</v>
      </c>
      <c r="B5" s="15" t="s">
        <v>15</v>
      </c>
      <c r="C5" s="15" t="s">
        <v>16</v>
      </c>
      <c r="D5" s="15">
        <v>130</v>
      </c>
      <c r="E5" s="13">
        <f t="shared" si="0"/>
        <v>130</v>
      </c>
      <c r="F5" s="15">
        <v>40</v>
      </c>
      <c r="G5" s="15" t="s">
        <v>17</v>
      </c>
      <c r="H5" s="14" t="str">
        <f t="shared" si="1"/>
        <v>Kitchen</v>
      </c>
      <c r="J5" s="53" t="s">
        <v>101</v>
      </c>
      <c r="K5" s="54"/>
      <c r="L5" s="54"/>
      <c r="M5" s="54"/>
      <c r="N5" s="54"/>
      <c r="O5" s="55"/>
    </row>
    <row r="6" spans="1:15" x14ac:dyDescent="0.5">
      <c r="A6" s="12" t="s">
        <v>34</v>
      </c>
      <c r="B6" s="12" t="s">
        <v>35</v>
      </c>
      <c r="C6" s="12" t="s">
        <v>36</v>
      </c>
      <c r="D6" s="12">
        <v>500</v>
      </c>
      <c r="E6" s="13">
        <f t="shared" si="0"/>
        <v>500</v>
      </c>
      <c r="F6" s="12">
        <v>50</v>
      </c>
      <c r="G6" s="12" t="s">
        <v>9</v>
      </c>
      <c r="H6" s="14" t="str">
        <f t="shared" si="1"/>
        <v>Electronics</v>
      </c>
      <c r="J6" s="56" t="s">
        <v>100</v>
      </c>
      <c r="K6" s="56"/>
      <c r="L6" s="56"/>
      <c r="M6" s="56"/>
      <c r="N6" s="56"/>
      <c r="O6" s="56"/>
    </row>
    <row r="7" spans="1:15" x14ac:dyDescent="0.5">
      <c r="A7" s="15" t="s">
        <v>25</v>
      </c>
      <c r="B7" s="15" t="s">
        <v>26</v>
      </c>
      <c r="C7" s="15" t="s">
        <v>27</v>
      </c>
      <c r="D7" s="18"/>
      <c r="E7" s="17" t="str">
        <f t="shared" si="0"/>
        <v>0</v>
      </c>
      <c r="F7" s="15">
        <v>45</v>
      </c>
      <c r="G7" s="15" t="s">
        <v>95</v>
      </c>
      <c r="H7" s="14" t="str">
        <f t="shared" si="1"/>
        <v>Electroni</v>
      </c>
      <c r="J7" s="56"/>
      <c r="K7" s="56"/>
      <c r="L7" s="56"/>
      <c r="M7" s="56"/>
      <c r="N7" s="56"/>
      <c r="O7" s="56"/>
    </row>
    <row r="8" spans="1:15" x14ac:dyDescent="0.5">
      <c r="A8" s="12" t="s">
        <v>79</v>
      </c>
      <c r="B8" s="12" t="s">
        <v>80</v>
      </c>
      <c r="C8" s="12" t="s">
        <v>81</v>
      </c>
      <c r="D8" s="12">
        <v>60</v>
      </c>
      <c r="E8" s="13">
        <f t="shared" si="0"/>
        <v>60</v>
      </c>
      <c r="F8" s="12">
        <v>30</v>
      </c>
      <c r="G8" s="12" t="s">
        <v>13</v>
      </c>
      <c r="H8" s="14" t="str">
        <f t="shared" si="1"/>
        <v>Fashion</v>
      </c>
      <c r="J8" s="56"/>
      <c r="K8" s="56"/>
      <c r="L8" s="56"/>
      <c r="M8" s="56"/>
      <c r="N8" s="56"/>
      <c r="O8" s="56"/>
    </row>
    <row r="9" spans="1:15" x14ac:dyDescent="0.5">
      <c r="A9" s="15" t="s">
        <v>43</v>
      </c>
      <c r="B9" s="15" t="s">
        <v>15</v>
      </c>
      <c r="C9" s="15" t="s">
        <v>44</v>
      </c>
      <c r="D9" s="15">
        <v>120</v>
      </c>
      <c r="E9" s="13">
        <f t="shared" si="0"/>
        <v>120</v>
      </c>
      <c r="F9" s="15">
        <v>35</v>
      </c>
      <c r="G9" s="18"/>
      <c r="H9" s="19" t="str">
        <f t="shared" si="1"/>
        <v>UNKNOWN</v>
      </c>
      <c r="J9" s="56"/>
      <c r="K9" s="56"/>
      <c r="L9" s="56"/>
      <c r="M9" s="56"/>
      <c r="N9" s="56"/>
      <c r="O9" s="56"/>
    </row>
    <row r="10" spans="1:15" x14ac:dyDescent="0.5">
      <c r="A10" s="12" t="s">
        <v>67</v>
      </c>
      <c r="B10" s="12" t="s">
        <v>68</v>
      </c>
      <c r="C10" s="12" t="s">
        <v>69</v>
      </c>
      <c r="D10" s="12">
        <v>80</v>
      </c>
      <c r="E10" s="13">
        <f t="shared" si="0"/>
        <v>80</v>
      </c>
      <c r="F10" s="12">
        <v>20</v>
      </c>
      <c r="G10" s="12" t="s">
        <v>17</v>
      </c>
      <c r="H10" s="14" t="str">
        <f t="shared" si="1"/>
        <v>Kitchen</v>
      </c>
      <c r="J10" s="56"/>
      <c r="K10" s="56"/>
      <c r="L10" s="56"/>
      <c r="M10" s="56"/>
      <c r="N10" s="56"/>
      <c r="O10" s="56"/>
    </row>
    <row r="11" spans="1:15" x14ac:dyDescent="0.5">
      <c r="A11" s="15" t="s">
        <v>90</v>
      </c>
      <c r="B11" s="15" t="s">
        <v>91</v>
      </c>
      <c r="C11" s="15" t="s">
        <v>92</v>
      </c>
      <c r="D11" s="15">
        <v>100</v>
      </c>
      <c r="E11" s="13">
        <f t="shared" si="0"/>
        <v>100</v>
      </c>
      <c r="F11" s="15">
        <v>20</v>
      </c>
      <c r="G11" s="15" t="s">
        <v>53</v>
      </c>
      <c r="H11" s="14" t="str">
        <f t="shared" si="1"/>
        <v>Accessories</v>
      </c>
    </row>
    <row r="12" spans="1:15" x14ac:dyDescent="0.5">
      <c r="A12" s="12" t="s">
        <v>18</v>
      </c>
      <c r="B12" s="12" t="s">
        <v>94</v>
      </c>
      <c r="C12" s="12" t="s">
        <v>20</v>
      </c>
      <c r="D12" s="12">
        <v>900</v>
      </c>
      <c r="E12" s="13">
        <f t="shared" si="0"/>
        <v>900</v>
      </c>
      <c r="F12" s="12">
        <v>25</v>
      </c>
      <c r="G12" s="12" t="s">
        <v>9</v>
      </c>
      <c r="H12" s="14" t="str">
        <f t="shared" si="1"/>
        <v>Electronics</v>
      </c>
      <c r="J12" s="6" t="s">
        <v>103</v>
      </c>
      <c r="K12" s="58" t="s">
        <v>104</v>
      </c>
      <c r="L12" s="59"/>
      <c r="M12" s="59"/>
      <c r="N12" s="60"/>
    </row>
    <row r="13" spans="1:15" x14ac:dyDescent="0.5">
      <c r="A13" s="15" t="s">
        <v>77</v>
      </c>
      <c r="B13" s="15" t="s">
        <v>32</v>
      </c>
      <c r="C13" s="15" t="s">
        <v>78</v>
      </c>
      <c r="D13" s="15">
        <v>400</v>
      </c>
      <c r="E13" s="13">
        <f t="shared" si="0"/>
        <v>400</v>
      </c>
      <c r="F13" s="15">
        <v>40</v>
      </c>
      <c r="G13" s="15" t="s">
        <v>17</v>
      </c>
      <c r="H13" s="14" t="str">
        <f t="shared" si="1"/>
        <v>Kitchen</v>
      </c>
      <c r="J13" s="6" t="s">
        <v>102</v>
      </c>
      <c r="K13" s="57" t="s">
        <v>105</v>
      </c>
      <c r="L13" s="57"/>
      <c r="M13" s="57"/>
      <c r="N13" s="57"/>
    </row>
    <row r="14" spans="1:15" x14ac:dyDescent="0.5">
      <c r="A14" s="12" t="s">
        <v>82</v>
      </c>
      <c r="B14" s="12" t="s">
        <v>83</v>
      </c>
      <c r="C14" s="12" t="s">
        <v>84</v>
      </c>
      <c r="D14" s="12">
        <v>40</v>
      </c>
      <c r="E14" s="13">
        <f t="shared" si="0"/>
        <v>40</v>
      </c>
      <c r="F14" s="12">
        <v>10</v>
      </c>
      <c r="G14" s="12" t="s">
        <v>17</v>
      </c>
      <c r="H14" s="14" t="str">
        <f t="shared" si="1"/>
        <v>Kitchen</v>
      </c>
    </row>
    <row r="15" spans="1:15" x14ac:dyDescent="0.5">
      <c r="A15" s="15" t="s">
        <v>61</v>
      </c>
      <c r="B15" s="15" t="s">
        <v>62</v>
      </c>
      <c r="C15" s="15" t="s">
        <v>63</v>
      </c>
      <c r="D15" s="18"/>
      <c r="E15" s="17" t="str">
        <f t="shared" si="0"/>
        <v>0</v>
      </c>
      <c r="F15" s="15">
        <v>10</v>
      </c>
      <c r="G15" s="15" t="s">
        <v>24</v>
      </c>
      <c r="H15" s="14" t="str">
        <f t="shared" si="1"/>
        <v>Outdoor</v>
      </c>
    </row>
    <row r="16" spans="1:15" x14ac:dyDescent="0.5">
      <c r="A16" s="12" t="s">
        <v>64</v>
      </c>
      <c r="B16" s="12" t="s">
        <v>65</v>
      </c>
      <c r="C16" s="12" t="s">
        <v>66</v>
      </c>
      <c r="D16" s="12">
        <v>700</v>
      </c>
      <c r="E16" s="13">
        <f t="shared" si="0"/>
        <v>700</v>
      </c>
      <c r="F16" s="12">
        <v>50</v>
      </c>
      <c r="G16" s="12" t="s">
        <v>9</v>
      </c>
      <c r="H16" s="14" t="str">
        <f t="shared" si="1"/>
        <v>Electronics</v>
      </c>
    </row>
    <row r="17" spans="1:8" x14ac:dyDescent="0.5">
      <c r="A17" s="15" t="s">
        <v>37</v>
      </c>
      <c r="B17" s="15" t="s">
        <v>38</v>
      </c>
      <c r="C17" s="15" t="s">
        <v>39</v>
      </c>
      <c r="D17" s="15">
        <v>130</v>
      </c>
      <c r="E17" s="13">
        <f t="shared" si="0"/>
        <v>130</v>
      </c>
      <c r="F17" s="15">
        <v>10</v>
      </c>
      <c r="G17" s="15" t="s">
        <v>24</v>
      </c>
      <c r="H17" s="14" t="str">
        <f t="shared" si="1"/>
        <v>Outdoor</v>
      </c>
    </row>
    <row r="18" spans="1:8" x14ac:dyDescent="0.5">
      <c r="A18" s="12" t="s">
        <v>10</v>
      </c>
      <c r="B18" s="12" t="s">
        <v>11</v>
      </c>
      <c r="C18" s="12" t="s">
        <v>12</v>
      </c>
      <c r="D18" s="12">
        <v>80</v>
      </c>
      <c r="E18" s="13">
        <f t="shared" si="0"/>
        <v>80</v>
      </c>
      <c r="F18" s="12">
        <v>15</v>
      </c>
      <c r="G18" s="12" t="s">
        <v>13</v>
      </c>
      <c r="H18" s="14" t="str">
        <f t="shared" si="1"/>
        <v>Fashion</v>
      </c>
    </row>
    <row r="19" spans="1:8" x14ac:dyDescent="0.5">
      <c r="A19" s="15" t="s">
        <v>48</v>
      </c>
      <c r="B19" s="15" t="s">
        <v>96</v>
      </c>
      <c r="C19" s="15" t="s">
        <v>49</v>
      </c>
      <c r="D19" s="15">
        <v>250</v>
      </c>
      <c r="E19" s="13">
        <f t="shared" si="0"/>
        <v>250</v>
      </c>
      <c r="F19" s="15">
        <v>20</v>
      </c>
      <c r="G19" s="15" t="s">
        <v>95</v>
      </c>
      <c r="H19" s="14" t="str">
        <f t="shared" si="1"/>
        <v>Electroni</v>
      </c>
    </row>
    <row r="20" spans="1:8" x14ac:dyDescent="0.5">
      <c r="A20" s="12" t="s">
        <v>40</v>
      </c>
      <c r="B20" s="12" t="s">
        <v>7</v>
      </c>
      <c r="C20" s="12" t="s">
        <v>41</v>
      </c>
      <c r="D20" s="12">
        <v>950</v>
      </c>
      <c r="E20" s="13">
        <f t="shared" si="0"/>
        <v>950</v>
      </c>
      <c r="F20" s="12">
        <v>25</v>
      </c>
      <c r="G20" s="12" t="s">
        <v>9</v>
      </c>
      <c r="H20" s="14" t="str">
        <f t="shared" si="1"/>
        <v>Electronics</v>
      </c>
    </row>
    <row r="21" spans="1:8" x14ac:dyDescent="0.5">
      <c r="A21" s="15" t="s">
        <v>45</v>
      </c>
      <c r="B21" s="15" t="s">
        <v>46</v>
      </c>
      <c r="C21" s="15" t="s">
        <v>47</v>
      </c>
      <c r="D21" s="15">
        <v>150</v>
      </c>
      <c r="E21" s="13">
        <f t="shared" si="0"/>
        <v>150</v>
      </c>
      <c r="F21" s="15">
        <v>15</v>
      </c>
      <c r="G21" s="15" t="s">
        <v>95</v>
      </c>
      <c r="H21" s="14" t="str">
        <f t="shared" si="1"/>
        <v>Electroni</v>
      </c>
    </row>
    <row r="22" spans="1:8" x14ac:dyDescent="0.5">
      <c r="A22" s="12" t="s">
        <v>70</v>
      </c>
      <c r="B22" s="12" t="s">
        <v>71</v>
      </c>
      <c r="C22" s="12" t="s">
        <v>72</v>
      </c>
      <c r="D22" s="12">
        <v>150</v>
      </c>
      <c r="E22" s="13">
        <f t="shared" si="0"/>
        <v>150</v>
      </c>
      <c r="F22" s="12">
        <v>30</v>
      </c>
      <c r="G22" s="16"/>
      <c r="H22" s="19" t="str">
        <f t="shared" si="1"/>
        <v>UNKNOWN</v>
      </c>
    </row>
    <row r="23" spans="1:8" x14ac:dyDescent="0.5">
      <c r="A23" s="15" t="s">
        <v>28</v>
      </c>
      <c r="B23" s="15" t="s">
        <v>29</v>
      </c>
      <c r="C23" s="15" t="s">
        <v>30</v>
      </c>
      <c r="D23" s="15">
        <v>30</v>
      </c>
      <c r="E23" s="13">
        <f t="shared" si="0"/>
        <v>30</v>
      </c>
      <c r="F23" s="15">
        <v>5</v>
      </c>
      <c r="G23" s="15" t="s">
        <v>13</v>
      </c>
      <c r="H23" s="14" t="str">
        <f t="shared" si="1"/>
        <v>Fashion</v>
      </c>
    </row>
    <row r="24" spans="1:8" x14ac:dyDescent="0.5">
      <c r="A24" s="12" t="s">
        <v>54</v>
      </c>
      <c r="B24" s="12" t="s">
        <v>46</v>
      </c>
      <c r="C24" s="12" t="s">
        <v>55</v>
      </c>
      <c r="D24" s="12">
        <v>160</v>
      </c>
      <c r="E24" s="13">
        <f t="shared" si="0"/>
        <v>160</v>
      </c>
      <c r="F24" s="12">
        <v>15</v>
      </c>
      <c r="G24" s="12" t="s">
        <v>95</v>
      </c>
      <c r="H24" s="14" t="str">
        <f t="shared" si="1"/>
        <v>Electroni</v>
      </c>
    </row>
    <row r="25" spans="1:8" x14ac:dyDescent="0.5">
      <c r="A25" s="15" t="s">
        <v>50</v>
      </c>
      <c r="B25" s="15" t="s">
        <v>51</v>
      </c>
      <c r="C25" s="15" t="s">
        <v>52</v>
      </c>
      <c r="D25" s="15">
        <v>50</v>
      </c>
      <c r="E25" s="13">
        <f t="shared" si="0"/>
        <v>50</v>
      </c>
      <c r="F25" s="15">
        <v>35</v>
      </c>
      <c r="G25" s="15" t="s">
        <v>53</v>
      </c>
      <c r="H25" s="14" t="str">
        <f t="shared" si="1"/>
        <v>Accessories</v>
      </c>
    </row>
    <row r="26" spans="1:8" x14ac:dyDescent="0.5">
      <c r="A26" s="12" t="s">
        <v>21</v>
      </c>
      <c r="B26" s="12" t="s">
        <v>22</v>
      </c>
      <c r="C26" s="12" t="s">
        <v>23</v>
      </c>
      <c r="D26" s="12">
        <v>70</v>
      </c>
      <c r="E26" s="13">
        <f t="shared" si="0"/>
        <v>70</v>
      </c>
      <c r="F26" s="12">
        <v>20</v>
      </c>
      <c r="G26" s="16"/>
      <c r="H26" s="19" t="str">
        <f t="shared" si="1"/>
        <v>UNKNOWN</v>
      </c>
    </row>
    <row r="27" spans="1:8" x14ac:dyDescent="0.5">
      <c r="A27" s="15" t="s">
        <v>31</v>
      </c>
      <c r="B27" s="15" t="s">
        <v>32</v>
      </c>
      <c r="C27" s="15" t="s">
        <v>33</v>
      </c>
      <c r="D27" s="15">
        <v>90</v>
      </c>
      <c r="E27" s="13">
        <f t="shared" si="0"/>
        <v>90</v>
      </c>
      <c r="F27" s="15">
        <v>35</v>
      </c>
      <c r="G27" s="15" t="s">
        <v>17</v>
      </c>
      <c r="H27" s="14" t="str">
        <f t="shared" si="1"/>
        <v>Kitchen</v>
      </c>
    </row>
    <row r="28" spans="1:8" x14ac:dyDescent="0.5">
      <c r="A28" s="12" t="s">
        <v>85</v>
      </c>
      <c r="B28" s="12" t="s">
        <v>71</v>
      </c>
      <c r="C28" s="12" t="s">
        <v>86</v>
      </c>
      <c r="D28" s="12">
        <v>130</v>
      </c>
      <c r="E28" s="13">
        <f t="shared" si="0"/>
        <v>130</v>
      </c>
      <c r="F28" s="12">
        <v>5</v>
      </c>
      <c r="G28" s="12" t="s">
        <v>9</v>
      </c>
      <c r="H28" s="14" t="str">
        <f t="shared" si="1"/>
        <v>Electronics</v>
      </c>
    </row>
    <row r="29" spans="1:8" x14ac:dyDescent="0.5">
      <c r="A29" s="15" t="s">
        <v>42</v>
      </c>
      <c r="B29" s="15" t="s">
        <v>11</v>
      </c>
      <c r="C29" s="15" t="s">
        <v>30</v>
      </c>
      <c r="D29" s="15">
        <v>90</v>
      </c>
      <c r="E29" s="13">
        <f t="shared" si="0"/>
        <v>90</v>
      </c>
      <c r="F29" s="15">
        <v>40</v>
      </c>
      <c r="G29" s="18"/>
      <c r="H29" s="19" t="str">
        <f t="shared" si="1"/>
        <v>UNKNOWN</v>
      </c>
    </row>
    <row r="30" spans="1:8" x14ac:dyDescent="0.5">
      <c r="A30" s="12" t="s">
        <v>56</v>
      </c>
      <c r="B30" s="12" t="s">
        <v>93</v>
      </c>
      <c r="C30" s="12" t="s">
        <v>57</v>
      </c>
      <c r="D30" s="12">
        <v>980</v>
      </c>
      <c r="E30" s="13">
        <f t="shared" si="0"/>
        <v>980</v>
      </c>
      <c r="F30" s="12">
        <v>10</v>
      </c>
      <c r="G30" s="12" t="s">
        <v>9</v>
      </c>
      <c r="H30" s="14" t="str">
        <f t="shared" si="1"/>
        <v>Electronics</v>
      </c>
    </row>
    <row r="31" spans="1:8" x14ac:dyDescent="0.5">
      <c r="A31" s="15" t="s">
        <v>6</v>
      </c>
      <c r="B31" s="15" t="s">
        <v>93</v>
      </c>
      <c r="C31" s="15" t="s">
        <v>8</v>
      </c>
      <c r="D31" s="15">
        <v>1000</v>
      </c>
      <c r="E31" s="13">
        <f t="shared" si="0"/>
        <v>1000</v>
      </c>
      <c r="F31" s="15">
        <v>30</v>
      </c>
      <c r="G31" s="15" t="s">
        <v>9</v>
      </c>
      <c r="H31" s="14" t="str">
        <f t="shared" si="1"/>
        <v>Electronics</v>
      </c>
    </row>
    <row r="32" spans="1:8" x14ac:dyDescent="0.5">
      <c r="A32" s="12" t="s">
        <v>73</v>
      </c>
      <c r="B32" s="12" t="s">
        <v>19</v>
      </c>
      <c r="C32" s="12" t="s">
        <v>74</v>
      </c>
      <c r="D32" s="12">
        <v>800</v>
      </c>
      <c r="E32" s="13">
        <f t="shared" si="0"/>
        <v>800</v>
      </c>
      <c r="F32" s="12">
        <v>45</v>
      </c>
      <c r="G32" s="12" t="s">
        <v>9</v>
      </c>
      <c r="H32" s="14" t="str">
        <f t="shared" si="1"/>
        <v>Electronics</v>
      </c>
    </row>
  </sheetData>
  <mergeCells count="4">
    <mergeCell ref="J5:O5"/>
    <mergeCell ref="J6:O10"/>
    <mergeCell ref="K13:N13"/>
    <mergeCell ref="K12:N12"/>
  </mergeCells>
  <printOptions horizontalCentered="1" verticalCentered="1"/>
  <pageMargins left="0.70866141732283472" right="0.70866141732283472" top="0.74803149606299213" bottom="0.74803149606299213" header="0.31496062992125984" footer="0.31496062992125984"/>
  <pageSetup paperSize="9" scale="110" orientation="portrait" r:id="rId1"/>
  <rowBreaks count="1" manualBreakCount="1">
    <brk id="33"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10926-B03E-444D-B8A4-8A50E485CBF4}">
  <dimension ref="A1:Q32"/>
  <sheetViews>
    <sheetView zoomScaleNormal="100" workbookViewId="0">
      <selection activeCell="C1" sqref="C1"/>
    </sheetView>
  </sheetViews>
  <sheetFormatPr defaultRowHeight="15.75" x14ac:dyDescent="0.5"/>
  <cols>
    <col min="1" max="1" width="11.19921875" style="8" bestFit="1" customWidth="1"/>
    <col min="2" max="2" width="14.6640625" style="8" bestFit="1" customWidth="1"/>
    <col min="3" max="3" width="14.19921875" style="8" bestFit="1" customWidth="1"/>
    <col min="4" max="4" width="12.9296875" style="8" bestFit="1" customWidth="1"/>
    <col min="5" max="5" width="14.265625" style="21" bestFit="1" customWidth="1"/>
    <col min="6" max="6" width="9.86328125" style="8" bestFit="1" customWidth="1"/>
    <col min="7" max="7" width="9.796875" style="8" bestFit="1" customWidth="1"/>
    <col min="8" max="8" width="10.3984375" style="8" bestFit="1" customWidth="1"/>
    <col min="9" max="9" width="5.86328125" style="8" customWidth="1"/>
    <col min="10" max="10" width="23.6640625" style="8" bestFit="1" customWidth="1"/>
    <col min="11" max="15" width="9.06640625" style="8"/>
    <col min="16" max="16" width="6.53125" style="8" customWidth="1"/>
    <col min="17" max="16384" width="9.06640625" style="8"/>
  </cols>
  <sheetData>
    <row r="1" spans="1:17" ht="28.9" x14ac:dyDescent="0.5">
      <c r="A1" s="24" t="s">
        <v>0</v>
      </c>
      <c r="B1" s="24" t="s">
        <v>209</v>
      </c>
      <c r="C1" s="26" t="s">
        <v>210</v>
      </c>
      <c r="D1" s="24" t="s">
        <v>208</v>
      </c>
      <c r="E1" s="25" t="s">
        <v>103</v>
      </c>
      <c r="F1" s="24" t="s">
        <v>4</v>
      </c>
      <c r="G1" s="24" t="s">
        <v>109</v>
      </c>
      <c r="H1" s="26" t="s">
        <v>207</v>
      </c>
    </row>
    <row r="2" spans="1:17" x14ac:dyDescent="0.5">
      <c r="A2" s="24" t="s">
        <v>58</v>
      </c>
      <c r="B2" s="24" t="s">
        <v>59</v>
      </c>
      <c r="C2" s="24" t="str">
        <f>PROPER(TRIM(CLEAN(B2)))</f>
        <v>Sunglasses</v>
      </c>
      <c r="D2" s="24" t="s">
        <v>60</v>
      </c>
      <c r="E2" s="25">
        <v>150</v>
      </c>
      <c r="F2" s="24">
        <v>15</v>
      </c>
      <c r="G2" s="24" t="s">
        <v>13</v>
      </c>
      <c r="H2" s="24" t="s">
        <v>13</v>
      </c>
    </row>
    <row r="3" spans="1:17" x14ac:dyDescent="0.5">
      <c r="A3" s="24" t="s">
        <v>87</v>
      </c>
      <c r="B3" s="24" t="s">
        <v>88</v>
      </c>
      <c r="C3" s="24" t="str">
        <f t="shared" ref="C3:C32" si="0">PROPER(TRIM(CLEAN(B3)))</f>
        <v>Jeans</v>
      </c>
      <c r="D3" s="24" t="s">
        <v>89</v>
      </c>
      <c r="E3" s="25">
        <v>50</v>
      </c>
      <c r="F3" s="24">
        <v>50</v>
      </c>
      <c r="G3" s="24" t="s">
        <v>13</v>
      </c>
      <c r="H3" s="24" t="s">
        <v>13</v>
      </c>
    </row>
    <row r="4" spans="1:17" x14ac:dyDescent="0.5">
      <c r="A4" s="24" t="s">
        <v>75</v>
      </c>
      <c r="B4" s="24" t="s">
        <v>59</v>
      </c>
      <c r="C4" s="24" t="str">
        <f t="shared" si="0"/>
        <v>Sunglasses</v>
      </c>
      <c r="D4" s="24" t="s">
        <v>76</v>
      </c>
      <c r="E4" s="25">
        <v>0</v>
      </c>
      <c r="F4" s="24">
        <v>25</v>
      </c>
      <c r="G4" s="24" t="s">
        <v>13</v>
      </c>
      <c r="H4" s="24" t="s">
        <v>13</v>
      </c>
      <c r="J4" s="52" t="s">
        <v>107</v>
      </c>
      <c r="K4" s="52"/>
      <c r="L4" s="52"/>
      <c r="M4" s="52"/>
      <c r="N4" s="52"/>
      <c r="O4" s="52"/>
      <c r="P4" s="52"/>
    </row>
    <row r="5" spans="1:17" ht="14.25" customHeight="1" x14ac:dyDescent="0.5">
      <c r="A5" s="24" t="s">
        <v>14</v>
      </c>
      <c r="B5" s="24" t="s">
        <v>15</v>
      </c>
      <c r="C5" s="24" t="str">
        <f t="shared" si="0"/>
        <v>Coffee Maker</v>
      </c>
      <c r="D5" s="24" t="s">
        <v>16</v>
      </c>
      <c r="E5" s="25">
        <v>130</v>
      </c>
      <c r="F5" s="24">
        <v>40</v>
      </c>
      <c r="G5" s="24" t="s">
        <v>17</v>
      </c>
      <c r="H5" s="24" t="s">
        <v>17</v>
      </c>
      <c r="J5" s="61" t="s">
        <v>205</v>
      </c>
      <c r="K5" s="61"/>
      <c r="L5" s="61"/>
      <c r="M5" s="61"/>
      <c r="N5" s="61"/>
      <c r="O5" s="61"/>
      <c r="P5" s="61"/>
    </row>
    <row r="6" spans="1:17" x14ac:dyDescent="0.5">
      <c r="A6" s="24" t="s">
        <v>34</v>
      </c>
      <c r="B6" s="24" t="s">
        <v>35</v>
      </c>
      <c r="C6" s="24" t="str">
        <f t="shared" si="0"/>
        <v>Tablet</v>
      </c>
      <c r="D6" s="24" t="s">
        <v>36</v>
      </c>
      <c r="E6" s="25">
        <v>500</v>
      </c>
      <c r="F6" s="24">
        <v>50</v>
      </c>
      <c r="G6" s="24" t="s">
        <v>9</v>
      </c>
      <c r="H6" s="24" t="s">
        <v>9</v>
      </c>
      <c r="J6" s="61"/>
      <c r="K6" s="61"/>
      <c r="L6" s="61"/>
      <c r="M6" s="61"/>
      <c r="N6" s="61"/>
      <c r="O6" s="61"/>
      <c r="P6" s="61"/>
    </row>
    <row r="7" spans="1:17" x14ac:dyDescent="0.5">
      <c r="A7" s="24" t="s">
        <v>25</v>
      </c>
      <c r="B7" s="24" t="s">
        <v>26</v>
      </c>
      <c r="C7" s="24" t="str">
        <f t="shared" si="0"/>
        <v>Headphones</v>
      </c>
      <c r="D7" s="24" t="s">
        <v>27</v>
      </c>
      <c r="E7" s="25">
        <v>0</v>
      </c>
      <c r="F7" s="24">
        <v>45</v>
      </c>
      <c r="G7" s="4" t="s">
        <v>95</v>
      </c>
      <c r="H7" s="4" t="s">
        <v>9</v>
      </c>
      <c r="J7" s="61"/>
      <c r="K7" s="61"/>
      <c r="L7" s="61"/>
      <c r="M7" s="61"/>
      <c r="N7" s="61"/>
      <c r="O7" s="61"/>
      <c r="P7" s="61"/>
    </row>
    <row r="8" spans="1:17" x14ac:dyDescent="0.5">
      <c r="A8" s="24" t="s">
        <v>79</v>
      </c>
      <c r="B8" s="24" t="s">
        <v>80</v>
      </c>
      <c r="C8" s="24" t="str">
        <f t="shared" si="0"/>
        <v>Dress</v>
      </c>
      <c r="D8" s="24" t="s">
        <v>81</v>
      </c>
      <c r="E8" s="25">
        <v>60</v>
      </c>
      <c r="F8" s="24">
        <v>30</v>
      </c>
      <c r="G8" s="24" t="s">
        <v>13</v>
      </c>
      <c r="H8" s="24" t="s">
        <v>13</v>
      </c>
      <c r="J8" s="61"/>
      <c r="K8" s="61"/>
      <c r="L8" s="61"/>
      <c r="M8" s="61"/>
      <c r="N8" s="61"/>
      <c r="O8" s="61"/>
      <c r="P8" s="61"/>
    </row>
    <row r="9" spans="1:17" x14ac:dyDescent="0.5">
      <c r="A9" s="24" t="s">
        <v>43</v>
      </c>
      <c r="B9" s="24" t="s">
        <v>15</v>
      </c>
      <c r="C9" s="24" t="str">
        <f t="shared" si="0"/>
        <v>Coffee Maker</v>
      </c>
      <c r="D9" s="24" t="s">
        <v>44</v>
      </c>
      <c r="E9" s="25">
        <v>120</v>
      </c>
      <c r="F9" s="24">
        <v>35</v>
      </c>
      <c r="G9" s="24" t="s">
        <v>106</v>
      </c>
      <c r="H9" s="24" t="s">
        <v>110</v>
      </c>
      <c r="J9" s="61"/>
      <c r="K9" s="61"/>
      <c r="L9" s="61"/>
      <c r="M9" s="61"/>
      <c r="N9" s="61"/>
      <c r="O9" s="61"/>
      <c r="P9" s="61"/>
    </row>
    <row r="10" spans="1:17" x14ac:dyDescent="0.5">
      <c r="A10" s="24" t="s">
        <v>67</v>
      </c>
      <c r="B10" s="24" t="s">
        <v>68</v>
      </c>
      <c r="C10" s="24" t="str">
        <f t="shared" si="0"/>
        <v>Microwave</v>
      </c>
      <c r="D10" s="24" t="s">
        <v>69</v>
      </c>
      <c r="E10" s="25">
        <v>80</v>
      </c>
      <c r="F10" s="24">
        <v>20</v>
      </c>
      <c r="G10" s="24" t="s">
        <v>17</v>
      </c>
      <c r="H10" s="24" t="s">
        <v>17</v>
      </c>
    </row>
    <row r="11" spans="1:17" x14ac:dyDescent="0.5">
      <c r="A11" s="24" t="s">
        <v>90</v>
      </c>
      <c r="B11" s="24" t="s">
        <v>91</v>
      </c>
      <c r="C11" s="24" t="str">
        <f t="shared" si="0"/>
        <v>Watch</v>
      </c>
      <c r="D11" s="24" t="s">
        <v>92</v>
      </c>
      <c r="E11" s="25">
        <v>100</v>
      </c>
      <c r="F11" s="24">
        <v>20</v>
      </c>
      <c r="G11" s="24" t="s">
        <v>53</v>
      </c>
      <c r="H11" s="24" t="s">
        <v>53</v>
      </c>
      <c r="J11" s="6" t="s">
        <v>108</v>
      </c>
      <c r="K11" s="57" t="str">
        <f ca="1">_xlfn.FORMULATEXT(C2)</f>
        <v>=PROPER(TRIM(CLEAN(B2)))</v>
      </c>
      <c r="L11" s="57"/>
      <c r="M11" s="57"/>
      <c r="N11" s="57"/>
      <c r="O11" s="57"/>
      <c r="P11" s="22"/>
      <c r="Q11" s="22"/>
    </row>
    <row r="12" spans="1:17" ht="15.75" customHeight="1" x14ac:dyDescent="0.5">
      <c r="A12" s="24" t="s">
        <v>18</v>
      </c>
      <c r="B12" s="4" t="s">
        <v>94</v>
      </c>
      <c r="C12" s="4" t="str">
        <f t="shared" si="0"/>
        <v>Smartphone</v>
      </c>
      <c r="D12" s="24" t="s">
        <v>20</v>
      </c>
      <c r="E12" s="25">
        <v>900</v>
      </c>
      <c r="F12" s="24">
        <v>25</v>
      </c>
      <c r="G12" s="24" t="s">
        <v>9</v>
      </c>
      <c r="H12" s="24" t="s">
        <v>9</v>
      </c>
      <c r="J12" s="56" t="s">
        <v>204</v>
      </c>
      <c r="K12" s="56"/>
      <c r="L12" s="56"/>
      <c r="M12" s="56"/>
      <c r="N12" s="56"/>
      <c r="O12" s="56"/>
      <c r="P12" s="23"/>
      <c r="Q12" s="23"/>
    </row>
    <row r="13" spans="1:17" x14ac:dyDescent="0.5">
      <c r="A13" s="24" t="s">
        <v>77</v>
      </c>
      <c r="B13" s="24" t="s">
        <v>32</v>
      </c>
      <c r="C13" s="24" t="str">
        <f t="shared" si="0"/>
        <v>Blender</v>
      </c>
      <c r="D13" s="24" t="s">
        <v>78</v>
      </c>
      <c r="E13" s="25">
        <v>400</v>
      </c>
      <c r="F13" s="24">
        <v>40</v>
      </c>
      <c r="G13" s="24" t="s">
        <v>17</v>
      </c>
      <c r="H13" s="24" t="s">
        <v>17</v>
      </c>
      <c r="J13" s="56"/>
      <c r="K13" s="56"/>
      <c r="L13" s="56"/>
      <c r="M13" s="56"/>
      <c r="N13" s="56"/>
      <c r="O13" s="56"/>
      <c r="P13" s="23"/>
      <c r="Q13" s="23"/>
    </row>
    <row r="14" spans="1:17" x14ac:dyDescent="0.5">
      <c r="A14" s="24" t="s">
        <v>82</v>
      </c>
      <c r="B14" s="24" t="s">
        <v>83</v>
      </c>
      <c r="C14" s="24" t="str">
        <f t="shared" si="0"/>
        <v>Toaster</v>
      </c>
      <c r="D14" s="24" t="s">
        <v>84</v>
      </c>
      <c r="E14" s="25">
        <v>40</v>
      </c>
      <c r="F14" s="24">
        <v>10</v>
      </c>
      <c r="G14" s="24" t="s">
        <v>17</v>
      </c>
      <c r="H14" s="24" t="s">
        <v>17</v>
      </c>
    </row>
    <row r="15" spans="1:17" x14ac:dyDescent="0.5">
      <c r="A15" s="24" t="s">
        <v>61</v>
      </c>
      <c r="B15" s="24" t="s">
        <v>62</v>
      </c>
      <c r="C15" s="24" t="str">
        <f t="shared" si="0"/>
        <v>Camping Tent</v>
      </c>
      <c r="D15" s="24" t="s">
        <v>63</v>
      </c>
      <c r="E15" s="25">
        <v>0</v>
      </c>
      <c r="F15" s="24">
        <v>10</v>
      </c>
      <c r="G15" s="24" t="s">
        <v>24</v>
      </c>
      <c r="H15" s="24" t="s">
        <v>24</v>
      </c>
    </row>
    <row r="16" spans="1:17" x14ac:dyDescent="0.5">
      <c r="A16" s="24" t="s">
        <v>64</v>
      </c>
      <c r="B16" s="24" t="s">
        <v>65</v>
      </c>
      <c r="C16" s="24" t="str">
        <f t="shared" si="0"/>
        <v>Camera</v>
      </c>
      <c r="D16" s="24" t="s">
        <v>66</v>
      </c>
      <c r="E16" s="25">
        <v>700</v>
      </c>
      <c r="F16" s="24">
        <v>50</v>
      </c>
      <c r="G16" s="24" t="s">
        <v>9</v>
      </c>
      <c r="H16" s="24" t="s">
        <v>9</v>
      </c>
    </row>
    <row r="17" spans="1:8" x14ac:dyDescent="0.5">
      <c r="A17" s="24" t="s">
        <v>37</v>
      </c>
      <c r="B17" s="24" t="s">
        <v>38</v>
      </c>
      <c r="C17" s="24" t="str">
        <f t="shared" si="0"/>
        <v>Hiking Boots</v>
      </c>
      <c r="D17" s="24" t="s">
        <v>39</v>
      </c>
      <c r="E17" s="25">
        <v>130</v>
      </c>
      <c r="F17" s="24">
        <v>10</v>
      </c>
      <c r="G17" s="24" t="s">
        <v>24</v>
      </c>
      <c r="H17" s="24" t="s">
        <v>24</v>
      </c>
    </row>
    <row r="18" spans="1:8" x14ac:dyDescent="0.5">
      <c r="A18" s="24" t="s">
        <v>10</v>
      </c>
      <c r="B18" s="24" t="s">
        <v>11</v>
      </c>
      <c r="C18" s="24" t="str">
        <f t="shared" si="0"/>
        <v>Sneakers</v>
      </c>
      <c r="D18" s="24" t="s">
        <v>12</v>
      </c>
      <c r="E18" s="25">
        <v>80</v>
      </c>
      <c r="F18" s="24">
        <v>15</v>
      </c>
      <c r="G18" s="24" t="s">
        <v>13</v>
      </c>
      <c r="H18" s="24" t="s">
        <v>13</v>
      </c>
    </row>
    <row r="19" spans="1:8" x14ac:dyDescent="0.5">
      <c r="A19" s="24" t="s">
        <v>48</v>
      </c>
      <c r="B19" s="24" t="s">
        <v>96</v>
      </c>
      <c r="C19" s="24" t="str">
        <f t="shared" si="0"/>
        <v>Headphones</v>
      </c>
      <c r="D19" s="24" t="s">
        <v>49</v>
      </c>
      <c r="E19" s="25">
        <v>250</v>
      </c>
      <c r="F19" s="24">
        <v>20</v>
      </c>
      <c r="G19" s="4" t="s">
        <v>95</v>
      </c>
      <c r="H19" s="4" t="s">
        <v>9</v>
      </c>
    </row>
    <row r="20" spans="1:8" x14ac:dyDescent="0.5">
      <c r="A20" s="24" t="s">
        <v>40</v>
      </c>
      <c r="B20" s="24" t="s">
        <v>7</v>
      </c>
      <c r="C20" s="24" t="str">
        <f t="shared" si="0"/>
        <v>Laptop</v>
      </c>
      <c r="D20" s="24" t="s">
        <v>41</v>
      </c>
      <c r="E20" s="25">
        <v>950</v>
      </c>
      <c r="F20" s="24">
        <v>25</v>
      </c>
      <c r="G20" s="24" t="s">
        <v>9</v>
      </c>
      <c r="H20" s="24" t="s">
        <v>9</v>
      </c>
    </row>
    <row r="21" spans="1:8" x14ac:dyDescent="0.5">
      <c r="A21" s="24" t="s">
        <v>45</v>
      </c>
      <c r="B21" s="24" t="s">
        <v>46</v>
      </c>
      <c r="C21" s="24" t="str">
        <f t="shared" si="0"/>
        <v>Smartwatch</v>
      </c>
      <c r="D21" s="24" t="s">
        <v>47</v>
      </c>
      <c r="E21" s="25">
        <v>150</v>
      </c>
      <c r="F21" s="24">
        <v>15</v>
      </c>
      <c r="G21" s="4" t="s">
        <v>95</v>
      </c>
      <c r="H21" s="4" t="s">
        <v>9</v>
      </c>
    </row>
    <row r="22" spans="1:8" x14ac:dyDescent="0.5">
      <c r="A22" s="24" t="s">
        <v>70</v>
      </c>
      <c r="B22" s="24" t="s">
        <v>71</v>
      </c>
      <c r="C22" s="24" t="str">
        <f t="shared" si="0"/>
        <v>Fitness Tracker</v>
      </c>
      <c r="D22" s="24" t="s">
        <v>72</v>
      </c>
      <c r="E22" s="25">
        <v>150</v>
      </c>
      <c r="F22" s="24">
        <v>30</v>
      </c>
      <c r="G22" s="24" t="s">
        <v>106</v>
      </c>
      <c r="H22" s="24" t="s">
        <v>110</v>
      </c>
    </row>
    <row r="23" spans="1:8" x14ac:dyDescent="0.5">
      <c r="A23" s="24" t="s">
        <v>28</v>
      </c>
      <c r="B23" s="24" t="s">
        <v>29</v>
      </c>
      <c r="C23" s="24" t="str">
        <f t="shared" si="0"/>
        <v>T-Shirt</v>
      </c>
      <c r="D23" s="24" t="s">
        <v>30</v>
      </c>
      <c r="E23" s="25">
        <v>30</v>
      </c>
      <c r="F23" s="24">
        <v>5</v>
      </c>
      <c r="G23" s="24" t="s">
        <v>13</v>
      </c>
      <c r="H23" s="24" t="s">
        <v>13</v>
      </c>
    </row>
    <row r="24" spans="1:8" x14ac:dyDescent="0.5">
      <c r="A24" s="24" t="s">
        <v>54</v>
      </c>
      <c r="B24" s="24" t="s">
        <v>46</v>
      </c>
      <c r="C24" s="24" t="str">
        <f t="shared" si="0"/>
        <v>Smartwatch</v>
      </c>
      <c r="D24" s="24" t="s">
        <v>55</v>
      </c>
      <c r="E24" s="25">
        <v>160</v>
      </c>
      <c r="F24" s="24">
        <v>15</v>
      </c>
      <c r="G24" s="4" t="s">
        <v>95</v>
      </c>
      <c r="H24" s="4" t="s">
        <v>9</v>
      </c>
    </row>
    <row r="25" spans="1:8" x14ac:dyDescent="0.5">
      <c r="A25" s="24" t="s">
        <v>50</v>
      </c>
      <c r="B25" s="24" t="s">
        <v>51</v>
      </c>
      <c r="C25" s="24" t="str">
        <f t="shared" si="0"/>
        <v>Laptop Bag</v>
      </c>
      <c r="D25" s="24" t="s">
        <v>52</v>
      </c>
      <c r="E25" s="25">
        <v>50</v>
      </c>
      <c r="F25" s="24">
        <v>35</v>
      </c>
      <c r="G25" s="24" t="s">
        <v>53</v>
      </c>
      <c r="H25" s="24" t="s">
        <v>53</v>
      </c>
    </row>
    <row r="26" spans="1:8" x14ac:dyDescent="0.5">
      <c r="A26" s="24" t="s">
        <v>21</v>
      </c>
      <c r="B26" s="24" t="s">
        <v>22</v>
      </c>
      <c r="C26" s="24" t="str">
        <f t="shared" si="0"/>
        <v>Backpack</v>
      </c>
      <c r="D26" s="24" t="s">
        <v>23</v>
      </c>
      <c r="E26" s="25">
        <v>70</v>
      </c>
      <c r="F26" s="24">
        <v>20</v>
      </c>
      <c r="G26" s="24" t="s">
        <v>106</v>
      </c>
      <c r="H26" s="24" t="s">
        <v>110</v>
      </c>
    </row>
    <row r="27" spans="1:8" x14ac:dyDescent="0.5">
      <c r="A27" s="24" t="s">
        <v>31</v>
      </c>
      <c r="B27" s="24" t="s">
        <v>32</v>
      </c>
      <c r="C27" s="24" t="str">
        <f t="shared" si="0"/>
        <v>Blender</v>
      </c>
      <c r="D27" s="24" t="s">
        <v>33</v>
      </c>
      <c r="E27" s="25">
        <v>90</v>
      </c>
      <c r="F27" s="24">
        <v>35</v>
      </c>
      <c r="G27" s="24" t="s">
        <v>17</v>
      </c>
      <c r="H27" s="24" t="s">
        <v>17</v>
      </c>
    </row>
    <row r="28" spans="1:8" x14ac:dyDescent="0.5">
      <c r="A28" s="24" t="s">
        <v>85</v>
      </c>
      <c r="B28" s="24" t="s">
        <v>71</v>
      </c>
      <c r="C28" s="24" t="str">
        <f t="shared" si="0"/>
        <v>Fitness Tracker</v>
      </c>
      <c r="D28" s="24" t="s">
        <v>86</v>
      </c>
      <c r="E28" s="25">
        <v>130</v>
      </c>
      <c r="F28" s="24">
        <v>5</v>
      </c>
      <c r="G28" s="24" t="s">
        <v>9</v>
      </c>
      <c r="H28" s="24" t="s">
        <v>9</v>
      </c>
    </row>
    <row r="29" spans="1:8" x14ac:dyDescent="0.5">
      <c r="A29" s="24" t="s">
        <v>42</v>
      </c>
      <c r="B29" s="24" t="s">
        <v>11</v>
      </c>
      <c r="C29" s="24" t="str">
        <f t="shared" si="0"/>
        <v>Sneakers</v>
      </c>
      <c r="D29" s="24" t="s">
        <v>30</v>
      </c>
      <c r="E29" s="25">
        <v>90</v>
      </c>
      <c r="F29" s="24">
        <v>40</v>
      </c>
      <c r="G29" s="24" t="s">
        <v>106</v>
      </c>
      <c r="H29" s="24" t="s">
        <v>110</v>
      </c>
    </row>
    <row r="30" spans="1:8" x14ac:dyDescent="0.5">
      <c r="A30" s="24" t="s">
        <v>56</v>
      </c>
      <c r="B30" s="4" t="s">
        <v>93</v>
      </c>
      <c r="C30" s="4" t="str">
        <f t="shared" si="0"/>
        <v>Laptop</v>
      </c>
      <c r="D30" s="24" t="s">
        <v>57</v>
      </c>
      <c r="E30" s="25">
        <v>980</v>
      </c>
      <c r="F30" s="24">
        <v>10</v>
      </c>
      <c r="G30" s="24" t="s">
        <v>9</v>
      </c>
      <c r="H30" s="24" t="s">
        <v>9</v>
      </c>
    </row>
    <row r="31" spans="1:8" x14ac:dyDescent="0.5">
      <c r="A31" s="24" t="s">
        <v>6</v>
      </c>
      <c r="B31" s="4" t="s">
        <v>93</v>
      </c>
      <c r="C31" s="4" t="str">
        <f t="shared" si="0"/>
        <v>Laptop</v>
      </c>
      <c r="D31" s="24" t="s">
        <v>8</v>
      </c>
      <c r="E31" s="25">
        <v>1000</v>
      </c>
      <c r="F31" s="24">
        <v>30</v>
      </c>
      <c r="G31" s="24" t="s">
        <v>9</v>
      </c>
      <c r="H31" s="24" t="s">
        <v>9</v>
      </c>
    </row>
    <row r="32" spans="1:8" x14ac:dyDescent="0.5">
      <c r="A32" s="24" t="s">
        <v>73</v>
      </c>
      <c r="B32" s="24" t="s">
        <v>19</v>
      </c>
      <c r="C32" s="24" t="str">
        <f t="shared" si="0"/>
        <v>Smartphone</v>
      </c>
      <c r="D32" s="24" t="s">
        <v>74</v>
      </c>
      <c r="E32" s="25">
        <v>800</v>
      </c>
      <c r="F32" s="24">
        <v>45</v>
      </c>
      <c r="G32" s="24" t="s">
        <v>9</v>
      </c>
      <c r="H32" s="24" t="s">
        <v>9</v>
      </c>
    </row>
  </sheetData>
  <autoFilter ref="A1:H32" xr:uid="{6A910926-B03E-444D-B8A4-8A50E485CBF4}"/>
  <mergeCells count="4">
    <mergeCell ref="J5:P9"/>
    <mergeCell ref="J4:P4"/>
    <mergeCell ref="J12:O13"/>
    <mergeCell ref="K11:O11"/>
  </mergeCells>
  <printOptions horizontalCentered="1" verticalCentered="1"/>
  <pageMargins left="0.70866141732283472" right="0.70866141732283472" top="0.74803149606299213" bottom="0.74803149606299213" header="0.31496062992125984" footer="0.31496062992125984"/>
  <pageSetup paperSize="8" scale="11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A3E9-535D-468A-A038-3F040217379A}">
  <dimension ref="A1:Q32"/>
  <sheetViews>
    <sheetView workbookViewId="0">
      <selection activeCell="B3" sqref="B3"/>
    </sheetView>
  </sheetViews>
  <sheetFormatPr defaultRowHeight="15.75" x14ac:dyDescent="0.5"/>
  <cols>
    <col min="1" max="1" width="10.9296875" style="8" bestFit="1" customWidth="1"/>
    <col min="2" max="2" width="10.33203125" style="36" bestFit="1" customWidth="1"/>
    <col min="3" max="3" width="7.73046875" style="8" bestFit="1" customWidth="1"/>
    <col min="4" max="4" width="13.9296875" style="8" bestFit="1" customWidth="1"/>
    <col min="5" max="5" width="11.73046875" style="8" bestFit="1" customWidth="1"/>
    <col min="6" max="6" width="22.53125" style="8" bestFit="1" customWidth="1"/>
    <col min="7" max="7" width="8.1328125" style="21" bestFit="1" customWidth="1"/>
    <col min="8" max="8" width="8.53125" style="8" bestFit="1" customWidth="1"/>
    <col min="9" max="9" width="10.9296875" style="8" bestFit="1" customWidth="1"/>
    <col min="10" max="10" width="9.06640625" style="8"/>
    <col min="11" max="11" width="18.73046875" style="8" bestFit="1" customWidth="1"/>
    <col min="12" max="12" width="12.46484375" style="8" bestFit="1" customWidth="1"/>
    <col min="13" max="16384" width="9.06640625" style="8"/>
  </cols>
  <sheetData>
    <row r="1" spans="1:17" ht="31.5" x14ac:dyDescent="0.5">
      <c r="A1" s="33" t="s">
        <v>0</v>
      </c>
      <c r="B1" s="37" t="s">
        <v>211</v>
      </c>
      <c r="C1" s="37" t="s">
        <v>215</v>
      </c>
      <c r="D1" s="37" t="s">
        <v>212</v>
      </c>
      <c r="E1" s="33" t="s">
        <v>2</v>
      </c>
      <c r="F1" s="34" t="s">
        <v>116</v>
      </c>
      <c r="G1" s="37" t="s">
        <v>214</v>
      </c>
      <c r="H1" s="33" t="s">
        <v>4</v>
      </c>
      <c r="I1" s="37" t="s">
        <v>213</v>
      </c>
    </row>
    <row r="2" spans="1:17" x14ac:dyDescent="0.5">
      <c r="A2" s="27" t="s">
        <v>58</v>
      </c>
      <c r="B2" s="27" t="str">
        <f>LEFT(A2,6)</f>
        <v>01-MAR</v>
      </c>
      <c r="C2" s="27" t="str">
        <f>RIGHT(A2,2)</f>
        <v>UK</v>
      </c>
      <c r="D2" s="27" t="s">
        <v>59</v>
      </c>
      <c r="E2" s="27" t="s">
        <v>60</v>
      </c>
      <c r="F2" s="28" t="str">
        <f>D2&amp;"-"&amp;E2</f>
        <v>Sunglasses-Oakley</v>
      </c>
      <c r="G2" s="27">
        <v>150</v>
      </c>
      <c r="H2" s="27">
        <v>15</v>
      </c>
      <c r="I2" s="27" t="s">
        <v>13</v>
      </c>
    </row>
    <row r="3" spans="1:17" x14ac:dyDescent="0.5">
      <c r="A3" s="29" t="s">
        <v>87</v>
      </c>
      <c r="B3" s="29" t="str">
        <f t="shared" ref="B3:B32" si="0">LEFT(A3,6)</f>
        <v>02-DEC</v>
      </c>
      <c r="C3" s="29" t="str">
        <f t="shared" ref="C3:C32" si="1">RIGHT(A3,2)</f>
        <v>CA</v>
      </c>
      <c r="D3" s="29" t="s">
        <v>88</v>
      </c>
      <c r="E3" s="29" t="s">
        <v>89</v>
      </c>
      <c r="F3" s="30" t="str">
        <f t="shared" ref="F3:F32" si="2">D3&amp;"-"&amp;E3</f>
        <v>Jeans-Levi's</v>
      </c>
      <c r="G3" s="29">
        <v>50</v>
      </c>
      <c r="H3" s="29">
        <v>50</v>
      </c>
      <c r="I3" s="29" t="s">
        <v>13</v>
      </c>
    </row>
    <row r="4" spans="1:17" x14ac:dyDescent="0.5">
      <c r="A4" s="27" t="s">
        <v>75</v>
      </c>
      <c r="B4" s="27" t="str">
        <f t="shared" si="0"/>
        <v>03-JUN</v>
      </c>
      <c r="C4" s="27" t="str">
        <f t="shared" si="1"/>
        <v>CA</v>
      </c>
      <c r="D4" s="27" t="s">
        <v>59</v>
      </c>
      <c r="E4" s="27" t="s">
        <v>76</v>
      </c>
      <c r="F4" s="28" t="str">
        <f t="shared" si="2"/>
        <v>Sunglasses-Ray-Ban</v>
      </c>
      <c r="G4" s="27">
        <v>0</v>
      </c>
      <c r="H4" s="27">
        <v>25</v>
      </c>
      <c r="I4" s="27" t="s">
        <v>13</v>
      </c>
      <c r="K4" s="52" t="s">
        <v>113</v>
      </c>
      <c r="L4" s="52"/>
      <c r="M4" s="52"/>
      <c r="N4" s="52"/>
      <c r="O4" s="52"/>
      <c r="P4" s="52"/>
      <c r="Q4" s="52"/>
    </row>
    <row r="5" spans="1:17" x14ac:dyDescent="0.5">
      <c r="A5" s="29" t="s">
        <v>14</v>
      </c>
      <c r="B5" s="29" t="str">
        <f t="shared" si="0"/>
        <v>03-MAR</v>
      </c>
      <c r="C5" s="29" t="str">
        <f t="shared" si="1"/>
        <v>US</v>
      </c>
      <c r="D5" s="29" t="s">
        <v>15</v>
      </c>
      <c r="E5" s="29" t="s">
        <v>16</v>
      </c>
      <c r="F5" s="30" t="str">
        <f t="shared" si="2"/>
        <v>Coffee Maker-Keurig</v>
      </c>
      <c r="G5" s="29">
        <v>130</v>
      </c>
      <c r="H5" s="29">
        <v>40</v>
      </c>
      <c r="I5" s="29" t="s">
        <v>17</v>
      </c>
      <c r="K5" s="56" t="s">
        <v>112</v>
      </c>
      <c r="L5" s="56"/>
      <c r="M5" s="56"/>
      <c r="N5" s="56"/>
      <c r="O5" s="56"/>
      <c r="P5" s="56"/>
      <c r="Q5" s="56"/>
    </row>
    <row r="6" spans="1:17" x14ac:dyDescent="0.5">
      <c r="A6" s="27" t="s">
        <v>34</v>
      </c>
      <c r="B6" s="27" t="str">
        <f t="shared" si="0"/>
        <v>05-SEP</v>
      </c>
      <c r="C6" s="27" t="str">
        <f t="shared" si="1"/>
        <v>UK</v>
      </c>
      <c r="D6" s="27" t="s">
        <v>35</v>
      </c>
      <c r="E6" s="27" t="s">
        <v>36</v>
      </c>
      <c r="F6" s="28" t="str">
        <f t="shared" si="2"/>
        <v>Tablet-Apple</v>
      </c>
      <c r="G6" s="27">
        <v>500</v>
      </c>
      <c r="H6" s="27">
        <v>50</v>
      </c>
      <c r="I6" s="27" t="s">
        <v>9</v>
      </c>
      <c r="K6" s="56"/>
      <c r="L6" s="56"/>
      <c r="M6" s="56"/>
      <c r="N6" s="56"/>
      <c r="O6" s="56"/>
      <c r="P6" s="56"/>
      <c r="Q6" s="56"/>
    </row>
    <row r="7" spans="1:17" x14ac:dyDescent="0.5">
      <c r="A7" s="29" t="s">
        <v>25</v>
      </c>
      <c r="B7" s="29" t="str">
        <f t="shared" si="0"/>
        <v>07-JUN</v>
      </c>
      <c r="C7" s="29" t="str">
        <f t="shared" si="1"/>
        <v>UK</v>
      </c>
      <c r="D7" s="29" t="s">
        <v>26</v>
      </c>
      <c r="E7" s="29" t="s">
        <v>27</v>
      </c>
      <c r="F7" s="30" t="str">
        <f t="shared" si="2"/>
        <v>Headphones-Sony</v>
      </c>
      <c r="G7" s="29">
        <v>0</v>
      </c>
      <c r="H7" s="29">
        <v>45</v>
      </c>
      <c r="I7" s="29" t="s">
        <v>9</v>
      </c>
      <c r="K7" s="56"/>
      <c r="L7" s="56"/>
      <c r="M7" s="56"/>
      <c r="N7" s="56"/>
      <c r="O7" s="56"/>
      <c r="P7" s="56"/>
      <c r="Q7" s="56"/>
    </row>
    <row r="8" spans="1:17" x14ac:dyDescent="0.5">
      <c r="A8" s="27" t="s">
        <v>79</v>
      </c>
      <c r="B8" s="27" t="str">
        <f t="shared" si="0"/>
        <v>07-MAR</v>
      </c>
      <c r="C8" s="27" t="str">
        <f t="shared" si="1"/>
        <v>CA</v>
      </c>
      <c r="D8" s="27" t="s">
        <v>80</v>
      </c>
      <c r="E8" s="27" t="s">
        <v>81</v>
      </c>
      <c r="F8" s="28" t="str">
        <f t="shared" si="2"/>
        <v>Dress-Zara</v>
      </c>
      <c r="G8" s="27">
        <v>60</v>
      </c>
      <c r="H8" s="27">
        <v>30</v>
      </c>
      <c r="I8" s="27" t="s">
        <v>13</v>
      </c>
      <c r="K8" s="56"/>
      <c r="L8" s="56"/>
      <c r="M8" s="56"/>
      <c r="N8" s="56"/>
      <c r="O8" s="56"/>
      <c r="P8" s="56"/>
      <c r="Q8" s="56"/>
    </row>
    <row r="9" spans="1:17" x14ac:dyDescent="0.5">
      <c r="A9" s="29" t="s">
        <v>43</v>
      </c>
      <c r="B9" s="29" t="str">
        <f t="shared" si="0"/>
        <v>08-DEC</v>
      </c>
      <c r="C9" s="29" t="str">
        <f t="shared" si="1"/>
        <v>DE</v>
      </c>
      <c r="D9" s="29" t="s">
        <v>15</v>
      </c>
      <c r="E9" s="29" t="s">
        <v>44</v>
      </c>
      <c r="F9" s="30" t="str">
        <f t="shared" si="2"/>
        <v>Coffee Maker-Nespresso</v>
      </c>
      <c r="G9" s="29">
        <v>120</v>
      </c>
      <c r="H9" s="29">
        <v>35</v>
      </c>
      <c r="I9" s="29" t="s">
        <v>110</v>
      </c>
      <c r="K9" s="56"/>
      <c r="L9" s="56"/>
      <c r="M9" s="56"/>
      <c r="N9" s="56"/>
      <c r="O9" s="56"/>
      <c r="P9" s="56"/>
      <c r="Q9" s="56"/>
    </row>
    <row r="10" spans="1:17" x14ac:dyDescent="0.5">
      <c r="A10" s="27" t="s">
        <v>67</v>
      </c>
      <c r="B10" s="27" t="str">
        <f t="shared" si="0"/>
        <v>09-JAN</v>
      </c>
      <c r="C10" s="27" t="str">
        <f t="shared" si="1"/>
        <v>CA</v>
      </c>
      <c r="D10" s="27" t="s">
        <v>68</v>
      </c>
      <c r="E10" s="27" t="s">
        <v>69</v>
      </c>
      <c r="F10" s="28" t="str">
        <f t="shared" si="2"/>
        <v>Microwave-Panasonic</v>
      </c>
      <c r="G10" s="27">
        <v>80</v>
      </c>
      <c r="H10" s="27">
        <v>20</v>
      </c>
      <c r="I10" s="27" t="s">
        <v>17</v>
      </c>
    </row>
    <row r="11" spans="1:17" x14ac:dyDescent="0.5">
      <c r="A11" s="29" t="s">
        <v>90</v>
      </c>
      <c r="B11" s="29" t="str">
        <f t="shared" si="0"/>
        <v>09-JUL</v>
      </c>
      <c r="C11" s="29" t="str">
        <f t="shared" si="1"/>
        <v>FR</v>
      </c>
      <c r="D11" s="29" t="s">
        <v>91</v>
      </c>
      <c r="E11" s="29" t="s">
        <v>92</v>
      </c>
      <c r="F11" s="30" t="str">
        <f t="shared" si="2"/>
        <v>Watch-Casio</v>
      </c>
      <c r="G11" s="29">
        <v>100</v>
      </c>
      <c r="H11" s="29">
        <v>20</v>
      </c>
      <c r="I11" s="29" t="s">
        <v>53</v>
      </c>
      <c r="K11" s="35" t="s">
        <v>114</v>
      </c>
      <c r="L11" s="6" t="s">
        <v>117</v>
      </c>
    </row>
    <row r="12" spans="1:17" x14ac:dyDescent="0.5">
      <c r="A12" s="27" t="s">
        <v>18</v>
      </c>
      <c r="B12" s="27" t="str">
        <f t="shared" si="0"/>
        <v>11-APR</v>
      </c>
      <c r="C12" s="27" t="str">
        <f t="shared" si="1"/>
        <v>US</v>
      </c>
      <c r="D12" s="27" t="s">
        <v>19</v>
      </c>
      <c r="E12" s="27" t="s">
        <v>20</v>
      </c>
      <c r="F12" s="28" t="str">
        <f t="shared" si="2"/>
        <v>Smartphone-Samsung</v>
      </c>
      <c r="G12" s="27">
        <v>900</v>
      </c>
      <c r="H12" s="27">
        <v>25</v>
      </c>
      <c r="I12" s="27" t="s">
        <v>9</v>
      </c>
      <c r="K12" s="6" t="s">
        <v>115</v>
      </c>
      <c r="L12" s="6" t="s">
        <v>118</v>
      </c>
    </row>
    <row r="13" spans="1:17" x14ac:dyDescent="0.5">
      <c r="A13" s="29" t="s">
        <v>77</v>
      </c>
      <c r="B13" s="29" t="str">
        <f t="shared" si="0"/>
        <v>11-JUL</v>
      </c>
      <c r="C13" s="29" t="str">
        <f t="shared" si="1"/>
        <v>CA</v>
      </c>
      <c r="D13" s="29" t="s">
        <v>32</v>
      </c>
      <c r="E13" s="29" t="s">
        <v>78</v>
      </c>
      <c r="F13" s="30" t="str">
        <f t="shared" si="2"/>
        <v>Blender-Vitamix</v>
      </c>
      <c r="G13" s="29">
        <v>400</v>
      </c>
      <c r="H13" s="29">
        <v>40</v>
      </c>
      <c r="I13" s="29" t="s">
        <v>17</v>
      </c>
      <c r="K13" s="6" t="s">
        <v>116</v>
      </c>
      <c r="L13" s="6" t="s">
        <v>119</v>
      </c>
    </row>
    <row r="14" spans="1:17" x14ac:dyDescent="0.5">
      <c r="A14" s="27" t="s">
        <v>82</v>
      </c>
      <c r="B14" s="27" t="str">
        <f t="shared" si="0"/>
        <v>13-APR</v>
      </c>
      <c r="C14" s="27" t="str">
        <f t="shared" si="1"/>
        <v>CA</v>
      </c>
      <c r="D14" s="27" t="s">
        <v>83</v>
      </c>
      <c r="E14" s="27" t="s">
        <v>84</v>
      </c>
      <c r="F14" s="28" t="str">
        <f t="shared" si="2"/>
        <v>Toaster-Hamilton</v>
      </c>
      <c r="G14" s="27">
        <v>40</v>
      </c>
      <c r="H14" s="27">
        <v>10</v>
      </c>
      <c r="I14" s="27" t="s">
        <v>17</v>
      </c>
    </row>
    <row r="15" spans="1:17" x14ac:dyDescent="0.5">
      <c r="A15" s="29" t="s">
        <v>61</v>
      </c>
      <c r="B15" s="29" t="str">
        <f t="shared" si="0"/>
        <v>14-AUG</v>
      </c>
      <c r="C15" s="29" t="str">
        <f t="shared" si="1"/>
        <v>US</v>
      </c>
      <c r="D15" s="29" t="s">
        <v>62</v>
      </c>
      <c r="E15" s="29" t="s">
        <v>63</v>
      </c>
      <c r="F15" s="30" t="str">
        <f t="shared" si="2"/>
        <v>Camping Tent-Coleman</v>
      </c>
      <c r="G15" s="29">
        <v>0</v>
      </c>
      <c r="H15" s="29">
        <v>10</v>
      </c>
      <c r="I15" s="29" t="s">
        <v>24</v>
      </c>
    </row>
    <row r="16" spans="1:17" x14ac:dyDescent="0.5">
      <c r="A16" s="27" t="s">
        <v>64</v>
      </c>
      <c r="B16" s="27" t="str">
        <f t="shared" si="0"/>
        <v>14-MAY</v>
      </c>
      <c r="C16" s="27" t="str">
        <f t="shared" si="1"/>
        <v>RU</v>
      </c>
      <c r="D16" s="27" t="s">
        <v>65</v>
      </c>
      <c r="E16" s="27" t="s">
        <v>66</v>
      </c>
      <c r="F16" s="28" t="str">
        <f t="shared" si="2"/>
        <v>Camera-Nikon</v>
      </c>
      <c r="G16" s="27">
        <v>700</v>
      </c>
      <c r="H16" s="27">
        <v>50</v>
      </c>
      <c r="I16" s="27" t="s">
        <v>9</v>
      </c>
    </row>
    <row r="17" spans="1:9" x14ac:dyDescent="0.5">
      <c r="A17" s="29" t="s">
        <v>37</v>
      </c>
      <c r="B17" s="29" t="str">
        <f t="shared" si="0"/>
        <v>14-OCT</v>
      </c>
      <c r="C17" s="29" t="str">
        <f t="shared" si="1"/>
        <v>UK</v>
      </c>
      <c r="D17" s="29" t="s">
        <v>38</v>
      </c>
      <c r="E17" s="29" t="s">
        <v>39</v>
      </c>
      <c r="F17" s="30" t="str">
        <f t="shared" si="2"/>
        <v>Hiking Boots-Timberland</v>
      </c>
      <c r="G17" s="29">
        <v>130</v>
      </c>
      <c r="H17" s="29">
        <v>10</v>
      </c>
      <c r="I17" s="29" t="s">
        <v>24</v>
      </c>
    </row>
    <row r="18" spans="1:9" x14ac:dyDescent="0.5">
      <c r="A18" s="27" t="s">
        <v>10</v>
      </c>
      <c r="B18" s="27" t="str">
        <f t="shared" si="0"/>
        <v>15-FEB</v>
      </c>
      <c r="C18" s="27" t="str">
        <f t="shared" si="1"/>
        <v>US</v>
      </c>
      <c r="D18" s="27" t="s">
        <v>11</v>
      </c>
      <c r="E18" s="27" t="s">
        <v>12</v>
      </c>
      <c r="F18" s="28" t="str">
        <f t="shared" si="2"/>
        <v>Sneakers-Nike</v>
      </c>
      <c r="G18" s="27">
        <v>80</v>
      </c>
      <c r="H18" s="27">
        <v>15</v>
      </c>
      <c r="I18" s="27" t="s">
        <v>13</v>
      </c>
    </row>
    <row r="19" spans="1:9" x14ac:dyDescent="0.5">
      <c r="A19" s="29" t="s">
        <v>48</v>
      </c>
      <c r="B19" s="29" t="str">
        <f t="shared" si="0"/>
        <v>16-APR</v>
      </c>
      <c r="C19" s="29" t="str">
        <f t="shared" si="1"/>
        <v>ES</v>
      </c>
      <c r="D19" s="29" t="s">
        <v>26</v>
      </c>
      <c r="E19" s="29" t="s">
        <v>49</v>
      </c>
      <c r="F19" s="30" t="str">
        <f t="shared" si="2"/>
        <v>Headphones-Bose</v>
      </c>
      <c r="G19" s="29">
        <v>250</v>
      </c>
      <c r="H19" s="29">
        <v>20</v>
      </c>
      <c r="I19" s="29" t="s">
        <v>9</v>
      </c>
    </row>
    <row r="20" spans="1:9" x14ac:dyDescent="0.5">
      <c r="A20" s="27" t="s">
        <v>40</v>
      </c>
      <c r="B20" s="27" t="str">
        <f t="shared" si="0"/>
        <v>17-JUN</v>
      </c>
      <c r="C20" s="27" t="str">
        <f t="shared" si="1"/>
        <v>IN</v>
      </c>
      <c r="D20" s="27" t="s">
        <v>7</v>
      </c>
      <c r="E20" s="27" t="s">
        <v>41</v>
      </c>
      <c r="F20" s="28" t="str">
        <f t="shared" si="2"/>
        <v>Laptop-HP</v>
      </c>
      <c r="G20" s="27">
        <v>950</v>
      </c>
      <c r="H20" s="27">
        <v>25</v>
      </c>
      <c r="I20" s="27" t="s">
        <v>9</v>
      </c>
    </row>
    <row r="21" spans="1:9" x14ac:dyDescent="0.5">
      <c r="A21" s="29" t="s">
        <v>45</v>
      </c>
      <c r="B21" s="29" t="str">
        <f t="shared" si="0"/>
        <v>18-FEB</v>
      </c>
      <c r="C21" s="29" t="str">
        <f t="shared" si="1"/>
        <v>CA</v>
      </c>
      <c r="D21" s="29" t="s">
        <v>46</v>
      </c>
      <c r="E21" s="29" t="s">
        <v>47</v>
      </c>
      <c r="F21" s="30" t="str">
        <f t="shared" si="2"/>
        <v>Smartwatch-Fitbit</v>
      </c>
      <c r="G21" s="29">
        <v>150</v>
      </c>
      <c r="H21" s="29">
        <v>15</v>
      </c>
      <c r="I21" s="29" t="s">
        <v>9</v>
      </c>
    </row>
    <row r="22" spans="1:9" x14ac:dyDescent="0.5">
      <c r="A22" s="27" t="s">
        <v>70</v>
      </c>
      <c r="B22" s="27" t="str">
        <f t="shared" si="0"/>
        <v>19-JUL</v>
      </c>
      <c r="C22" s="27" t="str">
        <f t="shared" si="1"/>
        <v>BR</v>
      </c>
      <c r="D22" s="27" t="s">
        <v>71</v>
      </c>
      <c r="E22" s="27" t="s">
        <v>72</v>
      </c>
      <c r="F22" s="28" t="str">
        <f t="shared" si="2"/>
        <v>Fitness Tracker-Xiaomi</v>
      </c>
      <c r="G22" s="27">
        <v>150</v>
      </c>
      <c r="H22" s="27">
        <v>30</v>
      </c>
      <c r="I22" s="27" t="s">
        <v>110</v>
      </c>
    </row>
    <row r="23" spans="1:9" x14ac:dyDescent="0.5">
      <c r="A23" s="29" t="s">
        <v>28</v>
      </c>
      <c r="B23" s="29" t="str">
        <f t="shared" si="0"/>
        <v>19-JUL</v>
      </c>
      <c r="C23" s="29" t="str">
        <f t="shared" si="1"/>
        <v>UK</v>
      </c>
      <c r="D23" s="29" t="s">
        <v>111</v>
      </c>
      <c r="E23" s="29" t="s">
        <v>30</v>
      </c>
      <c r="F23" s="30" t="str">
        <f t="shared" si="2"/>
        <v>T-Shirt-Adidas</v>
      </c>
      <c r="G23" s="29">
        <v>30</v>
      </c>
      <c r="H23" s="29">
        <v>5</v>
      </c>
      <c r="I23" s="29" t="s">
        <v>13</v>
      </c>
    </row>
    <row r="24" spans="1:9" x14ac:dyDescent="0.5">
      <c r="A24" s="27" t="s">
        <v>54</v>
      </c>
      <c r="B24" s="27" t="str">
        <f t="shared" si="0"/>
        <v>20-AUG</v>
      </c>
      <c r="C24" s="27" t="str">
        <f t="shared" si="1"/>
        <v>CN</v>
      </c>
      <c r="D24" s="27" t="s">
        <v>46</v>
      </c>
      <c r="E24" s="27" t="s">
        <v>55</v>
      </c>
      <c r="F24" s="28" t="str">
        <f t="shared" si="2"/>
        <v>Smartwatch-Huawei</v>
      </c>
      <c r="G24" s="27">
        <v>160</v>
      </c>
      <c r="H24" s="27">
        <v>15</v>
      </c>
      <c r="I24" s="27" t="s">
        <v>9</v>
      </c>
    </row>
    <row r="25" spans="1:9" x14ac:dyDescent="0.5">
      <c r="A25" s="29" t="s">
        <v>50</v>
      </c>
      <c r="B25" s="29" t="str">
        <f t="shared" si="0"/>
        <v>21-AUG</v>
      </c>
      <c r="C25" s="29" t="str">
        <f t="shared" si="1"/>
        <v>CA</v>
      </c>
      <c r="D25" s="29" t="s">
        <v>51</v>
      </c>
      <c r="E25" s="29" t="s">
        <v>52</v>
      </c>
      <c r="F25" s="30" t="str">
        <f t="shared" si="2"/>
        <v>Laptop Bag-Samsonite</v>
      </c>
      <c r="G25" s="29">
        <v>50</v>
      </c>
      <c r="H25" s="29">
        <v>35</v>
      </c>
      <c r="I25" s="29" t="s">
        <v>53</v>
      </c>
    </row>
    <row r="26" spans="1:9" x14ac:dyDescent="0.5">
      <c r="A26" s="27" t="s">
        <v>21</v>
      </c>
      <c r="B26" s="27" t="str">
        <f t="shared" si="0"/>
        <v>22-MAY</v>
      </c>
      <c r="C26" s="27" t="str">
        <f t="shared" si="1"/>
        <v>US</v>
      </c>
      <c r="D26" s="27" t="s">
        <v>22</v>
      </c>
      <c r="E26" s="27" t="s">
        <v>23</v>
      </c>
      <c r="F26" s="28" t="str">
        <f t="shared" si="2"/>
        <v>Backpack-North Face</v>
      </c>
      <c r="G26" s="27">
        <v>70</v>
      </c>
      <c r="H26" s="27">
        <v>20</v>
      </c>
      <c r="I26" s="27" t="s">
        <v>110</v>
      </c>
    </row>
    <row r="27" spans="1:9" x14ac:dyDescent="0.5">
      <c r="A27" s="29" t="s">
        <v>31</v>
      </c>
      <c r="B27" s="29" t="str">
        <f t="shared" si="0"/>
        <v>23-AUG</v>
      </c>
      <c r="C27" s="29" t="str">
        <f t="shared" si="1"/>
        <v>UK</v>
      </c>
      <c r="D27" s="29" t="s">
        <v>32</v>
      </c>
      <c r="E27" s="29" t="s">
        <v>33</v>
      </c>
      <c r="F27" s="30" t="str">
        <f t="shared" si="2"/>
        <v>Blender-Ninja</v>
      </c>
      <c r="G27" s="29">
        <v>90</v>
      </c>
      <c r="H27" s="29">
        <v>35</v>
      </c>
      <c r="I27" s="29" t="s">
        <v>17</v>
      </c>
    </row>
    <row r="28" spans="1:9" x14ac:dyDescent="0.5">
      <c r="A28" s="27" t="s">
        <v>85</v>
      </c>
      <c r="B28" s="27" t="str">
        <f t="shared" si="0"/>
        <v>24-MAY</v>
      </c>
      <c r="C28" s="27" t="str">
        <f t="shared" si="1"/>
        <v>CA</v>
      </c>
      <c r="D28" s="27" t="s">
        <v>71</v>
      </c>
      <c r="E28" s="27" t="s">
        <v>86</v>
      </c>
      <c r="F28" s="28" t="str">
        <f t="shared" si="2"/>
        <v>Fitness Tracker-Garmin</v>
      </c>
      <c r="G28" s="27">
        <v>130</v>
      </c>
      <c r="H28" s="27">
        <v>5</v>
      </c>
      <c r="I28" s="27" t="s">
        <v>9</v>
      </c>
    </row>
    <row r="29" spans="1:9" x14ac:dyDescent="0.5">
      <c r="A29" s="29" t="s">
        <v>42</v>
      </c>
      <c r="B29" s="29" t="str">
        <f t="shared" si="0"/>
        <v>25-NOV</v>
      </c>
      <c r="C29" s="29" t="str">
        <f t="shared" si="1"/>
        <v>AU</v>
      </c>
      <c r="D29" s="29" t="s">
        <v>11</v>
      </c>
      <c r="E29" s="29" t="s">
        <v>30</v>
      </c>
      <c r="F29" s="30" t="str">
        <f t="shared" si="2"/>
        <v>Sneakers-Adidas</v>
      </c>
      <c r="G29" s="29">
        <v>90</v>
      </c>
      <c r="H29" s="29">
        <v>40</v>
      </c>
      <c r="I29" s="29" t="s">
        <v>110</v>
      </c>
    </row>
    <row r="30" spans="1:9" x14ac:dyDescent="0.5">
      <c r="A30" s="27" t="s">
        <v>56</v>
      </c>
      <c r="B30" s="27" t="str">
        <f t="shared" si="0"/>
        <v>27-JAN</v>
      </c>
      <c r="C30" s="27" t="str">
        <f t="shared" si="1"/>
        <v>IT</v>
      </c>
      <c r="D30" s="27" t="s">
        <v>7</v>
      </c>
      <c r="E30" s="27" t="s">
        <v>57</v>
      </c>
      <c r="F30" s="28" t="str">
        <f t="shared" si="2"/>
        <v>Laptop-Asus</v>
      </c>
      <c r="G30" s="27">
        <v>980</v>
      </c>
      <c r="H30" s="27">
        <v>10</v>
      </c>
      <c r="I30" s="27" t="s">
        <v>9</v>
      </c>
    </row>
    <row r="31" spans="1:9" x14ac:dyDescent="0.5">
      <c r="A31" s="29" t="s">
        <v>6</v>
      </c>
      <c r="B31" s="29" t="str">
        <f t="shared" si="0"/>
        <v>28-JAN</v>
      </c>
      <c r="C31" s="29" t="str">
        <f t="shared" si="1"/>
        <v>US</v>
      </c>
      <c r="D31" s="29" t="s">
        <v>7</v>
      </c>
      <c r="E31" s="29" t="s">
        <v>8</v>
      </c>
      <c r="F31" s="30" t="str">
        <f t="shared" si="2"/>
        <v>Laptop-Dell</v>
      </c>
      <c r="G31" s="29">
        <v>1000</v>
      </c>
      <c r="H31" s="29">
        <v>30</v>
      </c>
      <c r="I31" s="29" t="s">
        <v>9</v>
      </c>
    </row>
    <row r="32" spans="1:9" x14ac:dyDescent="0.5">
      <c r="A32" s="27" t="s">
        <v>73</v>
      </c>
      <c r="B32" s="27" t="str">
        <f t="shared" si="0"/>
        <v>29-SEP</v>
      </c>
      <c r="C32" s="27" t="str">
        <f t="shared" si="1"/>
        <v>CA</v>
      </c>
      <c r="D32" s="27" t="s">
        <v>19</v>
      </c>
      <c r="E32" s="27" t="s">
        <v>74</v>
      </c>
      <c r="F32" s="28" t="str">
        <f t="shared" si="2"/>
        <v>Smartphone-Google</v>
      </c>
      <c r="G32" s="27">
        <v>800</v>
      </c>
      <c r="H32" s="27">
        <v>45</v>
      </c>
      <c r="I32" s="27" t="s">
        <v>9</v>
      </c>
    </row>
  </sheetData>
  <mergeCells count="2">
    <mergeCell ref="K4:Q4"/>
    <mergeCell ref="K5:Q9"/>
  </mergeCells>
  <printOptions horizontalCentered="1" verticalCentered="1"/>
  <pageMargins left="0.70866141732283472" right="0.70866141732283472" top="0.74803149606299213" bottom="0.74803149606299213" header="0.31496062992125984" footer="0.31496062992125984"/>
  <pageSetup paperSize="8" scale="122"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D829-F109-4B49-B432-25F205288C41}">
  <dimension ref="A1:R32"/>
  <sheetViews>
    <sheetView workbookViewId="0">
      <selection activeCell="G17" sqref="G17"/>
    </sheetView>
  </sheetViews>
  <sheetFormatPr defaultRowHeight="15.75" x14ac:dyDescent="0.5"/>
  <cols>
    <col min="1" max="1" width="10.9296875" style="8" bestFit="1" customWidth="1"/>
    <col min="2" max="2" width="11.9296875" style="39" bestFit="1" customWidth="1"/>
    <col min="3" max="3" width="10.9296875" style="39" bestFit="1" customWidth="1"/>
    <col min="4" max="4" width="13.06640625" style="8" bestFit="1" customWidth="1"/>
    <col min="5" max="5" width="13.9296875" style="8" bestFit="1" customWidth="1"/>
    <col min="6" max="6" width="11.73046875" style="8" bestFit="1" customWidth="1"/>
    <col min="7" max="7" width="22.53125" style="8" bestFit="1" customWidth="1"/>
    <col min="8" max="8" width="11.73046875" style="21" customWidth="1"/>
    <col min="9" max="9" width="8.53125" style="8" bestFit="1" customWidth="1"/>
    <col min="10" max="10" width="10.9296875" style="8" bestFit="1" customWidth="1"/>
    <col min="11" max="11" width="9.06640625" style="8"/>
    <col min="12" max="12" width="19.3984375" style="8" bestFit="1" customWidth="1"/>
    <col min="13" max="13" width="42.19921875" style="8" bestFit="1" customWidth="1"/>
    <col min="14" max="16384" width="9.06640625" style="8"/>
  </cols>
  <sheetData>
    <row r="1" spans="1:18" ht="47.25" x14ac:dyDescent="0.5">
      <c r="A1" s="40" t="s">
        <v>0</v>
      </c>
      <c r="B1" s="41" t="s">
        <v>216</v>
      </c>
      <c r="C1" s="42" t="s">
        <v>217</v>
      </c>
      <c r="D1" s="40" t="s">
        <v>115</v>
      </c>
      <c r="E1" s="41" t="s">
        <v>218</v>
      </c>
      <c r="F1" s="40" t="s">
        <v>2</v>
      </c>
      <c r="G1" s="40" t="s">
        <v>116</v>
      </c>
      <c r="H1" s="44" t="s">
        <v>219</v>
      </c>
      <c r="I1" s="40" t="s">
        <v>4</v>
      </c>
      <c r="J1" s="41" t="s">
        <v>213</v>
      </c>
    </row>
    <row r="2" spans="1:18" x14ac:dyDescent="0.5">
      <c r="A2" s="32" t="s">
        <v>58</v>
      </c>
      <c r="B2" s="32" t="s">
        <v>120</v>
      </c>
      <c r="C2" s="43">
        <f>DATEVALUE(B2)</f>
        <v>46082</v>
      </c>
      <c r="D2" s="32" t="s">
        <v>121</v>
      </c>
      <c r="E2" s="32" t="s">
        <v>59</v>
      </c>
      <c r="F2" s="32" t="s">
        <v>60</v>
      </c>
      <c r="G2" s="32" t="s">
        <v>122</v>
      </c>
      <c r="H2" s="45">
        <v>150</v>
      </c>
      <c r="I2" s="32">
        <v>15</v>
      </c>
      <c r="J2" s="32" t="s">
        <v>13</v>
      </c>
    </row>
    <row r="3" spans="1:18" x14ac:dyDescent="0.5">
      <c r="A3" s="6" t="s">
        <v>87</v>
      </c>
      <c r="B3" s="6" t="s">
        <v>123</v>
      </c>
      <c r="C3" s="38">
        <f t="shared" ref="C3:C32" si="0">DATEVALUE(B3)</f>
        <v>46358</v>
      </c>
      <c r="D3" s="6" t="s">
        <v>124</v>
      </c>
      <c r="E3" s="6" t="s">
        <v>88</v>
      </c>
      <c r="F3" s="6" t="s">
        <v>89</v>
      </c>
      <c r="G3" s="6" t="s">
        <v>125</v>
      </c>
      <c r="H3" s="20">
        <v>50</v>
      </c>
      <c r="I3" s="6">
        <v>50</v>
      </c>
      <c r="J3" s="6" t="s">
        <v>13</v>
      </c>
    </row>
    <row r="4" spans="1:18" x14ac:dyDescent="0.5">
      <c r="A4" s="32" t="s">
        <v>75</v>
      </c>
      <c r="B4" s="32" t="s">
        <v>126</v>
      </c>
      <c r="C4" s="43">
        <f t="shared" si="0"/>
        <v>46176</v>
      </c>
      <c r="D4" s="32" t="s">
        <v>124</v>
      </c>
      <c r="E4" s="32" t="s">
        <v>59</v>
      </c>
      <c r="F4" s="32" t="s">
        <v>76</v>
      </c>
      <c r="G4" s="32" t="s">
        <v>127</v>
      </c>
      <c r="H4" s="45">
        <v>0</v>
      </c>
      <c r="I4" s="32">
        <v>25</v>
      </c>
      <c r="J4" s="32" t="s">
        <v>13</v>
      </c>
    </row>
    <row r="5" spans="1:18" x14ac:dyDescent="0.5">
      <c r="A5" s="6" t="s">
        <v>14</v>
      </c>
      <c r="B5" s="6" t="s">
        <v>128</v>
      </c>
      <c r="C5" s="38">
        <f t="shared" si="0"/>
        <v>46084</v>
      </c>
      <c r="D5" s="6" t="s">
        <v>129</v>
      </c>
      <c r="E5" s="6" t="s">
        <v>15</v>
      </c>
      <c r="F5" s="6" t="s">
        <v>16</v>
      </c>
      <c r="G5" s="6" t="s">
        <v>130</v>
      </c>
      <c r="H5" s="20">
        <v>130</v>
      </c>
      <c r="I5" s="6">
        <v>40</v>
      </c>
      <c r="J5" s="6" t="s">
        <v>17</v>
      </c>
      <c r="L5" s="52" t="s">
        <v>193</v>
      </c>
      <c r="M5" s="52"/>
      <c r="N5" s="52"/>
      <c r="O5" s="52"/>
      <c r="P5" s="52"/>
      <c r="Q5" s="52"/>
      <c r="R5" s="52"/>
    </row>
    <row r="6" spans="1:18" ht="14.25" customHeight="1" x14ac:dyDescent="0.5">
      <c r="A6" s="32" t="s">
        <v>34</v>
      </c>
      <c r="B6" s="32" t="s">
        <v>131</v>
      </c>
      <c r="C6" s="43">
        <f t="shared" si="0"/>
        <v>46270</v>
      </c>
      <c r="D6" s="32" t="s">
        <v>121</v>
      </c>
      <c r="E6" s="32" t="s">
        <v>35</v>
      </c>
      <c r="F6" s="32" t="s">
        <v>36</v>
      </c>
      <c r="G6" s="32" t="s">
        <v>132</v>
      </c>
      <c r="H6" s="45">
        <v>500</v>
      </c>
      <c r="I6" s="32">
        <v>50</v>
      </c>
      <c r="J6" s="32" t="s">
        <v>9</v>
      </c>
      <c r="L6" s="56" t="s">
        <v>194</v>
      </c>
      <c r="M6" s="56"/>
      <c r="N6" s="56"/>
      <c r="O6" s="56"/>
      <c r="P6" s="56"/>
      <c r="Q6" s="56"/>
      <c r="R6" s="56"/>
    </row>
    <row r="7" spans="1:18" x14ac:dyDescent="0.5">
      <c r="A7" s="6" t="s">
        <v>25</v>
      </c>
      <c r="B7" s="6" t="s">
        <v>133</v>
      </c>
      <c r="C7" s="38">
        <f t="shared" si="0"/>
        <v>46180</v>
      </c>
      <c r="D7" s="6" t="s">
        <v>121</v>
      </c>
      <c r="E7" s="6" t="s">
        <v>26</v>
      </c>
      <c r="F7" s="6" t="s">
        <v>27</v>
      </c>
      <c r="G7" s="6" t="s">
        <v>134</v>
      </c>
      <c r="H7" s="20">
        <v>0</v>
      </c>
      <c r="I7" s="6">
        <v>45</v>
      </c>
      <c r="J7" s="6" t="s">
        <v>9</v>
      </c>
      <c r="L7" s="56"/>
      <c r="M7" s="56"/>
      <c r="N7" s="56"/>
      <c r="O7" s="56"/>
      <c r="P7" s="56"/>
      <c r="Q7" s="56"/>
      <c r="R7" s="56"/>
    </row>
    <row r="8" spans="1:18" x14ac:dyDescent="0.5">
      <c r="A8" s="32" t="s">
        <v>79</v>
      </c>
      <c r="B8" s="32" t="s">
        <v>135</v>
      </c>
      <c r="C8" s="43">
        <f t="shared" si="0"/>
        <v>46088</v>
      </c>
      <c r="D8" s="32" t="s">
        <v>124</v>
      </c>
      <c r="E8" s="32" t="s">
        <v>80</v>
      </c>
      <c r="F8" s="32" t="s">
        <v>81</v>
      </c>
      <c r="G8" s="32" t="s">
        <v>136</v>
      </c>
      <c r="H8" s="45">
        <v>60</v>
      </c>
      <c r="I8" s="32">
        <v>30</v>
      </c>
      <c r="J8" s="32" t="s">
        <v>13</v>
      </c>
      <c r="L8" s="56"/>
      <c r="M8" s="56"/>
      <c r="N8" s="56"/>
      <c r="O8" s="56"/>
      <c r="P8" s="56"/>
      <c r="Q8" s="56"/>
      <c r="R8" s="56"/>
    </row>
    <row r="9" spans="1:18" x14ac:dyDescent="0.5">
      <c r="A9" s="6" t="s">
        <v>43</v>
      </c>
      <c r="B9" s="6" t="s">
        <v>137</v>
      </c>
      <c r="C9" s="38">
        <f t="shared" si="0"/>
        <v>46364</v>
      </c>
      <c r="D9" s="6" t="s">
        <v>138</v>
      </c>
      <c r="E9" s="6" t="s">
        <v>15</v>
      </c>
      <c r="F9" s="6" t="s">
        <v>44</v>
      </c>
      <c r="G9" s="6" t="s">
        <v>139</v>
      </c>
      <c r="H9" s="20">
        <v>120</v>
      </c>
      <c r="I9" s="6">
        <v>35</v>
      </c>
      <c r="J9" s="6" t="s">
        <v>110</v>
      </c>
      <c r="L9" s="23"/>
      <c r="M9" s="23"/>
      <c r="N9" s="23"/>
      <c r="O9" s="23"/>
      <c r="P9" s="23"/>
      <c r="Q9" s="23"/>
      <c r="R9" s="23"/>
    </row>
    <row r="10" spans="1:18" x14ac:dyDescent="0.5">
      <c r="A10" s="32" t="s">
        <v>67</v>
      </c>
      <c r="B10" s="32" t="s">
        <v>140</v>
      </c>
      <c r="C10" s="43">
        <f t="shared" si="0"/>
        <v>46031</v>
      </c>
      <c r="D10" s="32" t="s">
        <v>124</v>
      </c>
      <c r="E10" s="32" t="s">
        <v>68</v>
      </c>
      <c r="F10" s="32" t="s">
        <v>69</v>
      </c>
      <c r="G10" s="32" t="s">
        <v>141</v>
      </c>
      <c r="H10" s="45">
        <v>80</v>
      </c>
      <c r="I10" s="32">
        <v>20</v>
      </c>
      <c r="J10" s="32" t="s">
        <v>17</v>
      </c>
      <c r="L10" s="23"/>
      <c r="M10" s="23"/>
      <c r="N10" s="23"/>
      <c r="O10" s="23"/>
      <c r="P10" s="23"/>
      <c r="Q10" s="23"/>
      <c r="R10" s="23"/>
    </row>
    <row r="11" spans="1:18" x14ac:dyDescent="0.5">
      <c r="A11" s="6" t="s">
        <v>90</v>
      </c>
      <c r="B11" s="6" t="s">
        <v>142</v>
      </c>
      <c r="C11" s="38">
        <f t="shared" si="0"/>
        <v>46212</v>
      </c>
      <c r="D11" s="6" t="s">
        <v>143</v>
      </c>
      <c r="E11" s="6" t="s">
        <v>91</v>
      </c>
      <c r="F11" s="6" t="s">
        <v>92</v>
      </c>
      <c r="G11" s="6" t="s">
        <v>144</v>
      </c>
      <c r="H11" s="20">
        <v>100</v>
      </c>
      <c r="I11" s="6">
        <v>20</v>
      </c>
      <c r="J11" s="6" t="s">
        <v>53</v>
      </c>
      <c r="L11" s="38" t="s">
        <v>195</v>
      </c>
      <c r="M11" s="6" t="s">
        <v>196</v>
      </c>
    </row>
    <row r="12" spans="1:18" x14ac:dyDescent="0.5">
      <c r="A12" s="32" t="s">
        <v>18</v>
      </c>
      <c r="B12" s="32" t="s">
        <v>145</v>
      </c>
      <c r="C12" s="43">
        <f t="shared" si="0"/>
        <v>46123</v>
      </c>
      <c r="D12" s="32" t="s">
        <v>129</v>
      </c>
      <c r="E12" s="32" t="s">
        <v>19</v>
      </c>
      <c r="F12" s="32" t="s">
        <v>20</v>
      </c>
      <c r="G12" s="32" t="s">
        <v>146</v>
      </c>
      <c r="H12" s="45">
        <v>900</v>
      </c>
      <c r="I12" s="32">
        <v>25</v>
      </c>
      <c r="J12" s="32" t="s">
        <v>9</v>
      </c>
      <c r="M12" s="6" t="s">
        <v>197</v>
      </c>
    </row>
    <row r="13" spans="1:18" x14ac:dyDescent="0.5">
      <c r="A13" s="6" t="s">
        <v>77</v>
      </c>
      <c r="B13" s="6" t="s">
        <v>147</v>
      </c>
      <c r="C13" s="38">
        <f t="shared" si="0"/>
        <v>46214</v>
      </c>
      <c r="D13" s="6" t="s">
        <v>124</v>
      </c>
      <c r="E13" s="6" t="s">
        <v>32</v>
      </c>
      <c r="F13" s="6" t="s">
        <v>78</v>
      </c>
      <c r="G13" s="6" t="s">
        <v>148</v>
      </c>
      <c r="H13" s="20">
        <v>400</v>
      </c>
      <c r="I13" s="6">
        <v>40</v>
      </c>
      <c r="J13" s="6" t="s">
        <v>17</v>
      </c>
    </row>
    <row r="14" spans="1:18" x14ac:dyDescent="0.5">
      <c r="A14" s="32" t="s">
        <v>82</v>
      </c>
      <c r="B14" s="32" t="s">
        <v>149</v>
      </c>
      <c r="C14" s="43">
        <f t="shared" si="0"/>
        <v>46125</v>
      </c>
      <c r="D14" s="32" t="s">
        <v>124</v>
      </c>
      <c r="E14" s="32" t="s">
        <v>83</v>
      </c>
      <c r="F14" s="32" t="s">
        <v>84</v>
      </c>
      <c r="G14" s="32" t="s">
        <v>150</v>
      </c>
      <c r="H14" s="45">
        <v>40</v>
      </c>
      <c r="I14" s="32">
        <v>10</v>
      </c>
      <c r="J14" s="32" t="s">
        <v>17</v>
      </c>
    </row>
    <row r="15" spans="1:18" x14ac:dyDescent="0.5">
      <c r="A15" s="6" t="s">
        <v>61</v>
      </c>
      <c r="B15" s="6" t="s">
        <v>151</v>
      </c>
      <c r="C15" s="38">
        <f t="shared" si="0"/>
        <v>46248</v>
      </c>
      <c r="D15" s="6" t="s">
        <v>129</v>
      </c>
      <c r="E15" s="6" t="s">
        <v>62</v>
      </c>
      <c r="F15" s="6" t="s">
        <v>63</v>
      </c>
      <c r="G15" s="6" t="s">
        <v>152</v>
      </c>
      <c r="H15" s="20">
        <v>0</v>
      </c>
      <c r="I15" s="6">
        <v>10</v>
      </c>
      <c r="J15" s="6" t="s">
        <v>24</v>
      </c>
    </row>
    <row r="16" spans="1:18" x14ac:dyDescent="0.5">
      <c r="A16" s="32" t="s">
        <v>64</v>
      </c>
      <c r="B16" s="32" t="s">
        <v>153</v>
      </c>
      <c r="C16" s="43">
        <f t="shared" si="0"/>
        <v>46156</v>
      </c>
      <c r="D16" s="32" t="s">
        <v>154</v>
      </c>
      <c r="E16" s="32" t="s">
        <v>65</v>
      </c>
      <c r="F16" s="32" t="s">
        <v>66</v>
      </c>
      <c r="G16" s="32" t="s">
        <v>155</v>
      </c>
      <c r="H16" s="45">
        <v>700</v>
      </c>
      <c r="I16" s="32">
        <v>50</v>
      </c>
      <c r="J16" s="32" t="s">
        <v>9</v>
      </c>
    </row>
    <row r="17" spans="1:10" x14ac:dyDescent="0.5">
      <c r="A17" s="6" t="s">
        <v>37</v>
      </c>
      <c r="B17" s="6" t="s">
        <v>156</v>
      </c>
      <c r="C17" s="38">
        <f t="shared" si="0"/>
        <v>46309</v>
      </c>
      <c r="D17" s="6" t="s">
        <v>121</v>
      </c>
      <c r="E17" s="6" t="s">
        <v>38</v>
      </c>
      <c r="F17" s="6" t="s">
        <v>39</v>
      </c>
      <c r="G17" s="6" t="s">
        <v>157</v>
      </c>
      <c r="H17" s="20">
        <v>130</v>
      </c>
      <c r="I17" s="6">
        <v>10</v>
      </c>
      <c r="J17" s="6" t="s">
        <v>24</v>
      </c>
    </row>
    <row r="18" spans="1:10" x14ac:dyDescent="0.5">
      <c r="A18" s="32" t="s">
        <v>10</v>
      </c>
      <c r="B18" s="32" t="s">
        <v>158</v>
      </c>
      <c r="C18" s="43">
        <f t="shared" si="0"/>
        <v>46068</v>
      </c>
      <c r="D18" s="32" t="s">
        <v>129</v>
      </c>
      <c r="E18" s="32" t="s">
        <v>11</v>
      </c>
      <c r="F18" s="32" t="s">
        <v>12</v>
      </c>
      <c r="G18" s="32" t="s">
        <v>159</v>
      </c>
      <c r="H18" s="45">
        <v>80</v>
      </c>
      <c r="I18" s="32">
        <v>15</v>
      </c>
      <c r="J18" s="32" t="s">
        <v>13</v>
      </c>
    </row>
    <row r="19" spans="1:10" x14ac:dyDescent="0.5">
      <c r="A19" s="6" t="s">
        <v>48</v>
      </c>
      <c r="B19" s="6" t="s">
        <v>160</v>
      </c>
      <c r="C19" s="38">
        <f t="shared" si="0"/>
        <v>46128</v>
      </c>
      <c r="D19" s="6" t="s">
        <v>161</v>
      </c>
      <c r="E19" s="6" t="s">
        <v>26</v>
      </c>
      <c r="F19" s="6" t="s">
        <v>49</v>
      </c>
      <c r="G19" s="6" t="s">
        <v>162</v>
      </c>
      <c r="H19" s="20">
        <v>250</v>
      </c>
      <c r="I19" s="6">
        <v>20</v>
      </c>
      <c r="J19" s="6" t="s">
        <v>9</v>
      </c>
    </row>
    <row r="20" spans="1:10" x14ac:dyDescent="0.5">
      <c r="A20" s="32" t="s">
        <v>40</v>
      </c>
      <c r="B20" s="32" t="s">
        <v>163</v>
      </c>
      <c r="C20" s="43">
        <f t="shared" si="0"/>
        <v>46190</v>
      </c>
      <c r="D20" s="32" t="s">
        <v>164</v>
      </c>
      <c r="E20" s="32" t="s">
        <v>7</v>
      </c>
      <c r="F20" s="32" t="s">
        <v>41</v>
      </c>
      <c r="G20" s="32" t="s">
        <v>165</v>
      </c>
      <c r="H20" s="45">
        <v>950</v>
      </c>
      <c r="I20" s="32">
        <v>25</v>
      </c>
      <c r="J20" s="32" t="s">
        <v>9</v>
      </c>
    </row>
    <row r="21" spans="1:10" x14ac:dyDescent="0.5">
      <c r="A21" s="6" t="s">
        <v>45</v>
      </c>
      <c r="B21" s="6" t="s">
        <v>166</v>
      </c>
      <c r="C21" s="38">
        <f t="shared" si="0"/>
        <v>46071</v>
      </c>
      <c r="D21" s="6" t="s">
        <v>124</v>
      </c>
      <c r="E21" s="6" t="s">
        <v>46</v>
      </c>
      <c r="F21" s="6" t="s">
        <v>47</v>
      </c>
      <c r="G21" s="6" t="s">
        <v>167</v>
      </c>
      <c r="H21" s="20">
        <v>150</v>
      </c>
      <c r="I21" s="6">
        <v>15</v>
      </c>
      <c r="J21" s="6" t="s">
        <v>9</v>
      </c>
    </row>
    <row r="22" spans="1:10" x14ac:dyDescent="0.5">
      <c r="A22" s="32" t="s">
        <v>70</v>
      </c>
      <c r="B22" s="32" t="s">
        <v>168</v>
      </c>
      <c r="C22" s="43">
        <f t="shared" si="0"/>
        <v>46222</v>
      </c>
      <c r="D22" s="32" t="s">
        <v>169</v>
      </c>
      <c r="E22" s="32" t="s">
        <v>71</v>
      </c>
      <c r="F22" s="32" t="s">
        <v>72</v>
      </c>
      <c r="G22" s="32" t="s">
        <v>170</v>
      </c>
      <c r="H22" s="45">
        <v>150</v>
      </c>
      <c r="I22" s="32">
        <v>30</v>
      </c>
      <c r="J22" s="32" t="s">
        <v>110</v>
      </c>
    </row>
    <row r="23" spans="1:10" x14ac:dyDescent="0.5">
      <c r="A23" s="6" t="s">
        <v>28</v>
      </c>
      <c r="B23" s="6" t="s">
        <v>168</v>
      </c>
      <c r="C23" s="38">
        <f t="shared" si="0"/>
        <v>46222</v>
      </c>
      <c r="D23" s="6" t="s">
        <v>121</v>
      </c>
      <c r="E23" s="6" t="s">
        <v>111</v>
      </c>
      <c r="F23" s="6" t="s">
        <v>30</v>
      </c>
      <c r="G23" s="6" t="s">
        <v>171</v>
      </c>
      <c r="H23" s="20">
        <v>30</v>
      </c>
      <c r="I23" s="6">
        <v>5</v>
      </c>
      <c r="J23" s="6" t="s">
        <v>13</v>
      </c>
    </row>
    <row r="24" spans="1:10" x14ac:dyDescent="0.5">
      <c r="A24" s="32" t="s">
        <v>54</v>
      </c>
      <c r="B24" s="32" t="s">
        <v>172</v>
      </c>
      <c r="C24" s="43">
        <f t="shared" si="0"/>
        <v>46254</v>
      </c>
      <c r="D24" s="32" t="s">
        <v>173</v>
      </c>
      <c r="E24" s="32" t="s">
        <v>46</v>
      </c>
      <c r="F24" s="32" t="s">
        <v>55</v>
      </c>
      <c r="G24" s="32" t="s">
        <v>174</v>
      </c>
      <c r="H24" s="45">
        <v>160</v>
      </c>
      <c r="I24" s="32">
        <v>15</v>
      </c>
      <c r="J24" s="32" t="s">
        <v>9</v>
      </c>
    </row>
    <row r="25" spans="1:10" x14ac:dyDescent="0.5">
      <c r="A25" s="6" t="s">
        <v>50</v>
      </c>
      <c r="B25" s="6" t="s">
        <v>175</v>
      </c>
      <c r="C25" s="38">
        <f t="shared" si="0"/>
        <v>46255</v>
      </c>
      <c r="D25" s="6" t="s">
        <v>124</v>
      </c>
      <c r="E25" s="6" t="s">
        <v>51</v>
      </c>
      <c r="F25" s="6" t="s">
        <v>52</v>
      </c>
      <c r="G25" s="6" t="s">
        <v>176</v>
      </c>
      <c r="H25" s="20">
        <v>50</v>
      </c>
      <c r="I25" s="6">
        <v>35</v>
      </c>
      <c r="J25" s="6" t="s">
        <v>53</v>
      </c>
    </row>
    <row r="26" spans="1:10" x14ac:dyDescent="0.5">
      <c r="A26" s="32" t="s">
        <v>21</v>
      </c>
      <c r="B26" s="32" t="s">
        <v>177</v>
      </c>
      <c r="C26" s="43">
        <f t="shared" si="0"/>
        <v>46164</v>
      </c>
      <c r="D26" s="32" t="s">
        <v>129</v>
      </c>
      <c r="E26" s="32" t="s">
        <v>22</v>
      </c>
      <c r="F26" s="32" t="s">
        <v>23</v>
      </c>
      <c r="G26" s="32" t="s">
        <v>178</v>
      </c>
      <c r="H26" s="45">
        <v>70</v>
      </c>
      <c r="I26" s="32">
        <v>20</v>
      </c>
      <c r="J26" s="32" t="s">
        <v>110</v>
      </c>
    </row>
    <row r="27" spans="1:10" x14ac:dyDescent="0.5">
      <c r="A27" s="6" t="s">
        <v>31</v>
      </c>
      <c r="B27" s="6" t="s">
        <v>179</v>
      </c>
      <c r="C27" s="38">
        <f t="shared" si="0"/>
        <v>46257</v>
      </c>
      <c r="D27" s="6" t="s">
        <v>121</v>
      </c>
      <c r="E27" s="6" t="s">
        <v>32</v>
      </c>
      <c r="F27" s="6" t="s">
        <v>33</v>
      </c>
      <c r="G27" s="6" t="s">
        <v>180</v>
      </c>
      <c r="H27" s="20">
        <v>90</v>
      </c>
      <c r="I27" s="6">
        <v>35</v>
      </c>
      <c r="J27" s="6" t="s">
        <v>17</v>
      </c>
    </row>
    <row r="28" spans="1:10" x14ac:dyDescent="0.5">
      <c r="A28" s="32" t="s">
        <v>85</v>
      </c>
      <c r="B28" s="32" t="s">
        <v>181</v>
      </c>
      <c r="C28" s="43">
        <f t="shared" si="0"/>
        <v>46166</v>
      </c>
      <c r="D28" s="32" t="s">
        <v>124</v>
      </c>
      <c r="E28" s="32" t="s">
        <v>71</v>
      </c>
      <c r="F28" s="32" t="s">
        <v>86</v>
      </c>
      <c r="G28" s="32" t="s">
        <v>182</v>
      </c>
      <c r="H28" s="45">
        <v>130</v>
      </c>
      <c r="I28" s="32">
        <v>5</v>
      </c>
      <c r="J28" s="32" t="s">
        <v>9</v>
      </c>
    </row>
    <row r="29" spans="1:10" x14ac:dyDescent="0.5">
      <c r="A29" s="6" t="s">
        <v>42</v>
      </c>
      <c r="B29" s="6" t="s">
        <v>183</v>
      </c>
      <c r="C29" s="38">
        <f t="shared" si="0"/>
        <v>46351</v>
      </c>
      <c r="D29" s="6" t="s">
        <v>184</v>
      </c>
      <c r="E29" s="6" t="s">
        <v>11</v>
      </c>
      <c r="F29" s="6" t="s">
        <v>30</v>
      </c>
      <c r="G29" s="6" t="s">
        <v>185</v>
      </c>
      <c r="H29" s="20">
        <v>90</v>
      </c>
      <c r="I29" s="6">
        <v>40</v>
      </c>
      <c r="J29" s="6" t="s">
        <v>110</v>
      </c>
    </row>
    <row r="30" spans="1:10" x14ac:dyDescent="0.5">
      <c r="A30" s="32" t="s">
        <v>56</v>
      </c>
      <c r="B30" s="32" t="s">
        <v>186</v>
      </c>
      <c r="C30" s="43">
        <f t="shared" si="0"/>
        <v>46049</v>
      </c>
      <c r="D30" s="32" t="s">
        <v>187</v>
      </c>
      <c r="E30" s="32" t="s">
        <v>7</v>
      </c>
      <c r="F30" s="32" t="s">
        <v>57</v>
      </c>
      <c r="G30" s="32" t="s">
        <v>188</v>
      </c>
      <c r="H30" s="45">
        <v>980</v>
      </c>
      <c r="I30" s="32">
        <v>10</v>
      </c>
      <c r="J30" s="32" t="s">
        <v>9</v>
      </c>
    </row>
    <row r="31" spans="1:10" x14ac:dyDescent="0.5">
      <c r="A31" s="6" t="s">
        <v>6</v>
      </c>
      <c r="B31" s="6" t="s">
        <v>189</v>
      </c>
      <c r="C31" s="38">
        <f t="shared" si="0"/>
        <v>46050</v>
      </c>
      <c r="D31" s="6" t="s">
        <v>129</v>
      </c>
      <c r="E31" s="6" t="s">
        <v>7</v>
      </c>
      <c r="F31" s="6" t="s">
        <v>8</v>
      </c>
      <c r="G31" s="6" t="s">
        <v>190</v>
      </c>
      <c r="H31" s="20">
        <v>1000</v>
      </c>
      <c r="I31" s="6">
        <v>30</v>
      </c>
      <c r="J31" s="6" t="s">
        <v>9</v>
      </c>
    </row>
    <row r="32" spans="1:10" x14ac:dyDescent="0.5">
      <c r="A32" s="32" t="s">
        <v>73</v>
      </c>
      <c r="B32" s="32" t="s">
        <v>191</v>
      </c>
      <c r="C32" s="43">
        <f t="shared" si="0"/>
        <v>46294</v>
      </c>
      <c r="D32" s="32" t="s">
        <v>124</v>
      </c>
      <c r="E32" s="32" t="s">
        <v>19</v>
      </c>
      <c r="F32" s="32" t="s">
        <v>74</v>
      </c>
      <c r="G32" s="32" t="s">
        <v>192</v>
      </c>
      <c r="H32" s="45">
        <v>800</v>
      </c>
      <c r="I32" s="32">
        <v>45</v>
      </c>
      <c r="J32" s="32" t="s">
        <v>9</v>
      </c>
    </row>
  </sheetData>
  <mergeCells count="2">
    <mergeCell ref="L5:R5"/>
    <mergeCell ref="L6:R8"/>
  </mergeCells>
  <printOptions horizontalCentered="1" verticalCentered="1"/>
  <pageMargins left="0.70866141732283472" right="0.70866141732283472" top="0.74803149606299213" bottom="0.74803149606299213" header="0.31496062992125984" footer="0.31496062992125984"/>
  <pageSetup paperSize="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8A39D-530B-4B91-931E-3A2A5C7CDB3F}">
  <dimension ref="A1:Q32"/>
  <sheetViews>
    <sheetView topLeftCell="D1" workbookViewId="0">
      <selection activeCell="P1" sqref="P1"/>
    </sheetView>
  </sheetViews>
  <sheetFormatPr defaultRowHeight="15.75" x14ac:dyDescent="0.5"/>
  <cols>
    <col min="1" max="1" width="10.9296875" style="8" bestFit="1" customWidth="1"/>
    <col min="2" max="2" width="9.19921875" style="39" bestFit="1" customWidth="1"/>
    <col min="3" max="3" width="7.73046875" style="8" bestFit="1" customWidth="1"/>
    <col min="4" max="4" width="13.9296875" style="8" bestFit="1" customWidth="1"/>
    <col min="5" max="5" width="11.73046875" style="8" bestFit="1" customWidth="1"/>
    <col min="6" max="6" width="22.53125" style="8" bestFit="1" customWidth="1"/>
    <col min="7" max="7" width="13.59765625" style="21" bestFit="1" customWidth="1"/>
    <col min="8" max="8" width="8.53125" style="8" bestFit="1" customWidth="1"/>
    <col min="9" max="9" width="10.9296875" style="8" bestFit="1" customWidth="1"/>
    <col min="10" max="16384" width="9.06640625" style="8"/>
  </cols>
  <sheetData>
    <row r="1" spans="1:17" ht="47.25" x14ac:dyDescent="0.5">
      <c r="A1" s="40" t="s">
        <v>0</v>
      </c>
      <c r="B1" s="42" t="s">
        <v>220</v>
      </c>
      <c r="C1" s="41" t="s">
        <v>215</v>
      </c>
      <c r="D1" s="41" t="s">
        <v>206</v>
      </c>
      <c r="E1" s="40" t="s">
        <v>2</v>
      </c>
      <c r="F1" s="40" t="s">
        <v>116</v>
      </c>
      <c r="G1" s="40" t="s">
        <v>103</v>
      </c>
      <c r="H1" s="40" t="s">
        <v>4</v>
      </c>
      <c r="I1" s="41" t="s">
        <v>213</v>
      </c>
    </row>
    <row r="2" spans="1:17" x14ac:dyDescent="0.5">
      <c r="A2" s="32" t="s">
        <v>58</v>
      </c>
      <c r="B2" s="43">
        <v>46082</v>
      </c>
      <c r="C2" s="32" t="s">
        <v>121</v>
      </c>
      <c r="D2" s="32" t="s">
        <v>59</v>
      </c>
      <c r="E2" s="32" t="s">
        <v>60</v>
      </c>
      <c r="F2" s="32" t="s">
        <v>122</v>
      </c>
      <c r="G2" s="32">
        <v>150</v>
      </c>
      <c r="H2" s="32">
        <v>15</v>
      </c>
      <c r="I2" s="32" t="s">
        <v>13</v>
      </c>
    </row>
    <row r="3" spans="1:17" x14ac:dyDescent="0.5">
      <c r="A3" s="6" t="s">
        <v>87</v>
      </c>
      <c r="B3" s="38">
        <v>46358</v>
      </c>
      <c r="C3" s="6" t="s">
        <v>124</v>
      </c>
      <c r="D3" s="6" t="s">
        <v>88</v>
      </c>
      <c r="E3" s="6" t="s">
        <v>89</v>
      </c>
      <c r="F3" s="6" t="s">
        <v>125</v>
      </c>
      <c r="G3" s="6">
        <v>50</v>
      </c>
      <c r="H3" s="6">
        <v>50</v>
      </c>
      <c r="I3" s="6" t="s">
        <v>13</v>
      </c>
    </row>
    <row r="4" spans="1:17" x14ac:dyDescent="0.5">
      <c r="A4" s="32" t="s">
        <v>75</v>
      </c>
      <c r="B4" s="43">
        <v>46176</v>
      </c>
      <c r="C4" s="32" t="s">
        <v>124</v>
      </c>
      <c r="D4" s="32" t="s">
        <v>59</v>
      </c>
      <c r="E4" s="32" t="s">
        <v>76</v>
      </c>
      <c r="F4" s="32" t="s">
        <v>127</v>
      </c>
      <c r="G4" s="32">
        <v>0</v>
      </c>
      <c r="H4" s="32">
        <v>25</v>
      </c>
      <c r="I4" s="32" t="s">
        <v>13</v>
      </c>
    </row>
    <row r="5" spans="1:17" x14ac:dyDescent="0.5">
      <c r="A5" s="6" t="s">
        <v>14</v>
      </c>
      <c r="B5" s="38">
        <v>46084</v>
      </c>
      <c r="C5" s="6" t="s">
        <v>129</v>
      </c>
      <c r="D5" s="6" t="s">
        <v>15</v>
      </c>
      <c r="E5" s="6" t="s">
        <v>16</v>
      </c>
      <c r="F5" s="6" t="s">
        <v>130</v>
      </c>
      <c r="G5" s="6">
        <v>130</v>
      </c>
      <c r="H5" s="6">
        <v>40</v>
      </c>
      <c r="I5" s="6" t="s">
        <v>17</v>
      </c>
      <c r="K5" s="52" t="s">
        <v>202</v>
      </c>
      <c r="L5" s="52"/>
      <c r="M5" s="52"/>
      <c r="N5" s="52"/>
      <c r="O5" s="52"/>
      <c r="P5" s="52"/>
      <c r="Q5" s="52"/>
    </row>
    <row r="6" spans="1:17" x14ac:dyDescent="0.5">
      <c r="A6" s="32" t="s">
        <v>34</v>
      </c>
      <c r="B6" s="43">
        <v>46270</v>
      </c>
      <c r="C6" s="32" t="s">
        <v>121</v>
      </c>
      <c r="D6" s="32" t="s">
        <v>35</v>
      </c>
      <c r="E6" s="32" t="s">
        <v>36</v>
      </c>
      <c r="F6" s="32" t="s">
        <v>132</v>
      </c>
      <c r="G6" s="32">
        <v>500</v>
      </c>
      <c r="H6" s="32">
        <v>50</v>
      </c>
      <c r="I6" s="32" t="s">
        <v>9</v>
      </c>
      <c r="K6" s="56" t="s">
        <v>198</v>
      </c>
      <c r="L6" s="56"/>
      <c r="M6" s="56"/>
      <c r="N6" s="56"/>
      <c r="O6" s="56"/>
      <c r="P6" s="56"/>
      <c r="Q6" s="56"/>
    </row>
    <row r="7" spans="1:17" x14ac:dyDescent="0.5">
      <c r="A7" s="6" t="s">
        <v>25</v>
      </c>
      <c r="B7" s="38">
        <v>46180</v>
      </c>
      <c r="C7" s="6" t="s">
        <v>121</v>
      </c>
      <c r="D7" s="6" t="s">
        <v>26</v>
      </c>
      <c r="E7" s="6" t="s">
        <v>27</v>
      </c>
      <c r="F7" s="6" t="s">
        <v>134</v>
      </c>
      <c r="G7" s="6">
        <v>0</v>
      </c>
      <c r="H7" s="6">
        <v>45</v>
      </c>
      <c r="I7" s="6" t="s">
        <v>9</v>
      </c>
      <c r="K7" s="56"/>
      <c r="L7" s="56"/>
      <c r="M7" s="56"/>
      <c r="N7" s="56"/>
      <c r="O7" s="56"/>
      <c r="P7" s="56"/>
      <c r="Q7" s="56"/>
    </row>
    <row r="8" spans="1:17" x14ac:dyDescent="0.5">
      <c r="A8" s="32" t="s">
        <v>79</v>
      </c>
      <c r="B8" s="43">
        <v>46088</v>
      </c>
      <c r="C8" s="32" t="s">
        <v>124</v>
      </c>
      <c r="D8" s="32" t="s">
        <v>80</v>
      </c>
      <c r="E8" s="32" t="s">
        <v>81</v>
      </c>
      <c r="F8" s="32" t="s">
        <v>136</v>
      </c>
      <c r="G8" s="32">
        <v>60</v>
      </c>
      <c r="H8" s="32">
        <v>30</v>
      </c>
      <c r="I8" s="32" t="s">
        <v>13</v>
      </c>
      <c r="K8" s="56"/>
      <c r="L8" s="56"/>
      <c r="M8" s="56"/>
      <c r="N8" s="56"/>
      <c r="O8" s="56"/>
      <c r="P8" s="56"/>
      <c r="Q8" s="56"/>
    </row>
    <row r="9" spans="1:17" x14ac:dyDescent="0.5">
      <c r="A9" s="6" t="s">
        <v>43</v>
      </c>
      <c r="B9" s="38">
        <v>46364</v>
      </c>
      <c r="C9" s="6" t="s">
        <v>138</v>
      </c>
      <c r="D9" s="6" t="s">
        <v>15</v>
      </c>
      <c r="E9" s="6" t="s">
        <v>44</v>
      </c>
      <c r="F9" s="6" t="s">
        <v>139</v>
      </c>
      <c r="G9" s="6">
        <v>120</v>
      </c>
      <c r="H9" s="6">
        <v>35</v>
      </c>
      <c r="I9" s="6" t="s">
        <v>110</v>
      </c>
    </row>
    <row r="10" spans="1:17" x14ac:dyDescent="0.5">
      <c r="A10" s="32" t="s">
        <v>67</v>
      </c>
      <c r="B10" s="43">
        <v>46031</v>
      </c>
      <c r="C10" s="32" t="s">
        <v>124</v>
      </c>
      <c r="D10" s="32" t="s">
        <v>68</v>
      </c>
      <c r="E10" s="32" t="s">
        <v>69</v>
      </c>
      <c r="F10" s="32" t="s">
        <v>141</v>
      </c>
      <c r="G10" s="32">
        <v>80</v>
      </c>
      <c r="H10" s="32">
        <v>20</v>
      </c>
      <c r="I10" s="32" t="s">
        <v>17</v>
      </c>
    </row>
    <row r="11" spans="1:17" x14ac:dyDescent="0.5">
      <c r="A11" s="6" t="s">
        <v>90</v>
      </c>
      <c r="B11" s="38">
        <v>46212</v>
      </c>
      <c r="C11" s="6" t="s">
        <v>143</v>
      </c>
      <c r="D11" s="6" t="s">
        <v>91</v>
      </c>
      <c r="E11" s="6" t="s">
        <v>92</v>
      </c>
      <c r="F11" s="6" t="s">
        <v>144</v>
      </c>
      <c r="G11" s="6">
        <v>100</v>
      </c>
      <c r="H11" s="6">
        <v>20</v>
      </c>
      <c r="I11" s="6" t="s">
        <v>53</v>
      </c>
      <c r="K11" s="57" t="s">
        <v>199</v>
      </c>
      <c r="L11" s="56" t="s">
        <v>200</v>
      </c>
      <c r="M11" s="57"/>
      <c r="N11" s="57"/>
      <c r="O11" s="57"/>
      <c r="P11" s="57"/>
    </row>
    <row r="12" spans="1:17" x14ac:dyDescent="0.5">
      <c r="A12" s="32" t="s">
        <v>18</v>
      </c>
      <c r="B12" s="43">
        <v>46123</v>
      </c>
      <c r="C12" s="32" t="s">
        <v>129</v>
      </c>
      <c r="D12" s="32" t="s">
        <v>19</v>
      </c>
      <c r="E12" s="32" t="s">
        <v>20</v>
      </c>
      <c r="F12" s="32" t="s">
        <v>146</v>
      </c>
      <c r="G12" s="32">
        <v>900</v>
      </c>
      <c r="H12" s="32">
        <v>25</v>
      </c>
      <c r="I12" s="32" t="s">
        <v>9</v>
      </c>
      <c r="K12" s="57"/>
      <c r="L12" s="57"/>
      <c r="M12" s="57"/>
      <c r="N12" s="57"/>
      <c r="O12" s="57"/>
      <c r="P12" s="57"/>
    </row>
    <row r="13" spans="1:17" x14ac:dyDescent="0.5">
      <c r="A13" s="6" t="s">
        <v>77</v>
      </c>
      <c r="B13" s="38">
        <v>46214</v>
      </c>
      <c r="C13" s="6" t="s">
        <v>124</v>
      </c>
      <c r="D13" s="6" t="s">
        <v>32</v>
      </c>
      <c r="E13" s="6" t="s">
        <v>78</v>
      </c>
      <c r="F13" s="6" t="s">
        <v>148</v>
      </c>
      <c r="G13" s="6">
        <v>400</v>
      </c>
      <c r="H13" s="6">
        <v>40</v>
      </c>
      <c r="I13" s="6" t="s">
        <v>17</v>
      </c>
      <c r="K13" s="57" t="s">
        <v>5</v>
      </c>
      <c r="L13" s="56" t="s">
        <v>201</v>
      </c>
      <c r="M13" s="57"/>
      <c r="N13" s="57"/>
      <c r="O13" s="57"/>
      <c r="P13" s="57"/>
    </row>
    <row r="14" spans="1:17" x14ac:dyDescent="0.5">
      <c r="A14" s="32" t="s">
        <v>82</v>
      </c>
      <c r="B14" s="43">
        <v>46125</v>
      </c>
      <c r="C14" s="32" t="s">
        <v>124</v>
      </c>
      <c r="D14" s="32" t="s">
        <v>83</v>
      </c>
      <c r="E14" s="32" t="s">
        <v>84</v>
      </c>
      <c r="F14" s="32" t="s">
        <v>150</v>
      </c>
      <c r="G14" s="32">
        <v>40</v>
      </c>
      <c r="H14" s="32">
        <v>10</v>
      </c>
      <c r="I14" s="32" t="s">
        <v>17</v>
      </c>
      <c r="K14" s="57"/>
      <c r="L14" s="57"/>
      <c r="M14" s="57"/>
      <c r="N14" s="57"/>
      <c r="O14" s="57"/>
      <c r="P14" s="57"/>
    </row>
    <row r="15" spans="1:17" x14ac:dyDescent="0.5">
      <c r="A15" s="6" t="s">
        <v>61</v>
      </c>
      <c r="B15" s="38">
        <v>46248</v>
      </c>
      <c r="C15" s="6" t="s">
        <v>129</v>
      </c>
      <c r="D15" s="6" t="s">
        <v>62</v>
      </c>
      <c r="E15" s="6" t="s">
        <v>63</v>
      </c>
      <c r="F15" s="6" t="s">
        <v>152</v>
      </c>
      <c r="G15" s="6">
        <v>0</v>
      </c>
      <c r="H15" s="6">
        <v>10</v>
      </c>
      <c r="I15" s="6" t="s">
        <v>24</v>
      </c>
    </row>
    <row r="16" spans="1:17" x14ac:dyDescent="0.5">
      <c r="A16" s="32" t="s">
        <v>64</v>
      </c>
      <c r="B16" s="43">
        <v>46156</v>
      </c>
      <c r="C16" s="32" t="s">
        <v>154</v>
      </c>
      <c r="D16" s="32" t="s">
        <v>65</v>
      </c>
      <c r="E16" s="32" t="s">
        <v>66</v>
      </c>
      <c r="F16" s="32" t="s">
        <v>155</v>
      </c>
      <c r="G16" s="32">
        <v>700</v>
      </c>
      <c r="H16" s="32">
        <v>50</v>
      </c>
      <c r="I16" s="32" t="s">
        <v>9</v>
      </c>
    </row>
    <row r="17" spans="1:9" x14ac:dyDescent="0.5">
      <c r="A17" s="6" t="s">
        <v>37</v>
      </c>
      <c r="B17" s="38">
        <v>46309</v>
      </c>
      <c r="C17" s="6" t="s">
        <v>121</v>
      </c>
      <c r="D17" s="6" t="s">
        <v>38</v>
      </c>
      <c r="E17" s="6" t="s">
        <v>39</v>
      </c>
      <c r="F17" s="6" t="s">
        <v>157</v>
      </c>
      <c r="G17" s="6">
        <v>130</v>
      </c>
      <c r="H17" s="6">
        <v>10</v>
      </c>
      <c r="I17" s="6" t="s">
        <v>24</v>
      </c>
    </row>
    <row r="18" spans="1:9" x14ac:dyDescent="0.5">
      <c r="A18" s="32" t="s">
        <v>10</v>
      </c>
      <c r="B18" s="43">
        <v>46068</v>
      </c>
      <c r="C18" s="32" t="s">
        <v>129</v>
      </c>
      <c r="D18" s="32" t="s">
        <v>11</v>
      </c>
      <c r="E18" s="32" t="s">
        <v>12</v>
      </c>
      <c r="F18" s="32" t="s">
        <v>159</v>
      </c>
      <c r="G18" s="32">
        <v>80</v>
      </c>
      <c r="H18" s="32">
        <v>15</v>
      </c>
      <c r="I18" s="32" t="s">
        <v>13</v>
      </c>
    </row>
    <row r="19" spans="1:9" x14ac:dyDescent="0.5">
      <c r="A19" s="6" t="s">
        <v>48</v>
      </c>
      <c r="B19" s="38">
        <v>46128</v>
      </c>
      <c r="C19" s="6" t="s">
        <v>161</v>
      </c>
      <c r="D19" s="6" t="s">
        <v>26</v>
      </c>
      <c r="E19" s="6" t="s">
        <v>49</v>
      </c>
      <c r="F19" s="6" t="s">
        <v>162</v>
      </c>
      <c r="G19" s="6">
        <v>250</v>
      </c>
      <c r="H19" s="6">
        <v>20</v>
      </c>
      <c r="I19" s="6" t="s">
        <v>9</v>
      </c>
    </row>
    <row r="20" spans="1:9" x14ac:dyDescent="0.5">
      <c r="A20" s="32" t="s">
        <v>40</v>
      </c>
      <c r="B20" s="43">
        <v>46190</v>
      </c>
      <c r="C20" s="32" t="s">
        <v>164</v>
      </c>
      <c r="D20" s="32" t="s">
        <v>7</v>
      </c>
      <c r="E20" s="32" t="s">
        <v>41</v>
      </c>
      <c r="F20" s="32" t="s">
        <v>165</v>
      </c>
      <c r="G20" s="32">
        <v>950</v>
      </c>
      <c r="H20" s="32">
        <v>25</v>
      </c>
      <c r="I20" s="32" t="s">
        <v>9</v>
      </c>
    </row>
    <row r="21" spans="1:9" x14ac:dyDescent="0.5">
      <c r="A21" s="6" t="s">
        <v>45</v>
      </c>
      <c r="B21" s="38">
        <v>46071</v>
      </c>
      <c r="C21" s="6" t="s">
        <v>124</v>
      </c>
      <c r="D21" s="6" t="s">
        <v>46</v>
      </c>
      <c r="E21" s="6" t="s">
        <v>47</v>
      </c>
      <c r="F21" s="6" t="s">
        <v>167</v>
      </c>
      <c r="G21" s="6">
        <v>150</v>
      </c>
      <c r="H21" s="6">
        <v>15</v>
      </c>
      <c r="I21" s="6" t="s">
        <v>9</v>
      </c>
    </row>
    <row r="22" spans="1:9" x14ac:dyDescent="0.5">
      <c r="A22" s="32" t="s">
        <v>70</v>
      </c>
      <c r="B22" s="43">
        <v>46222</v>
      </c>
      <c r="C22" s="32" t="s">
        <v>169</v>
      </c>
      <c r="D22" s="32" t="s">
        <v>71</v>
      </c>
      <c r="E22" s="32" t="s">
        <v>72</v>
      </c>
      <c r="F22" s="32" t="s">
        <v>170</v>
      </c>
      <c r="G22" s="32">
        <v>150</v>
      </c>
      <c r="H22" s="32">
        <v>30</v>
      </c>
      <c r="I22" s="32" t="s">
        <v>110</v>
      </c>
    </row>
    <row r="23" spans="1:9" x14ac:dyDescent="0.5">
      <c r="A23" s="6" t="s">
        <v>28</v>
      </c>
      <c r="B23" s="38">
        <v>46222</v>
      </c>
      <c r="C23" s="6" t="s">
        <v>121</v>
      </c>
      <c r="D23" s="6" t="s">
        <v>111</v>
      </c>
      <c r="E23" s="6" t="s">
        <v>30</v>
      </c>
      <c r="F23" s="6" t="s">
        <v>171</v>
      </c>
      <c r="G23" s="6">
        <v>30</v>
      </c>
      <c r="H23" s="6">
        <v>5</v>
      </c>
      <c r="I23" s="6" t="s">
        <v>13</v>
      </c>
    </row>
    <row r="24" spans="1:9" x14ac:dyDescent="0.5">
      <c r="A24" s="32" t="s">
        <v>54</v>
      </c>
      <c r="B24" s="43">
        <v>46254</v>
      </c>
      <c r="C24" s="32" t="s">
        <v>173</v>
      </c>
      <c r="D24" s="32" t="s">
        <v>46</v>
      </c>
      <c r="E24" s="32" t="s">
        <v>55</v>
      </c>
      <c r="F24" s="32" t="s">
        <v>174</v>
      </c>
      <c r="G24" s="32">
        <v>160</v>
      </c>
      <c r="H24" s="32">
        <v>15</v>
      </c>
      <c r="I24" s="32" t="s">
        <v>9</v>
      </c>
    </row>
    <row r="25" spans="1:9" x14ac:dyDescent="0.5">
      <c r="A25" s="6" t="s">
        <v>50</v>
      </c>
      <c r="B25" s="38">
        <v>46255</v>
      </c>
      <c r="C25" s="6" t="s">
        <v>124</v>
      </c>
      <c r="D25" s="6" t="s">
        <v>51</v>
      </c>
      <c r="E25" s="6" t="s">
        <v>52</v>
      </c>
      <c r="F25" s="6" t="s">
        <v>176</v>
      </c>
      <c r="G25" s="6">
        <v>50</v>
      </c>
      <c r="H25" s="6">
        <v>35</v>
      </c>
      <c r="I25" s="6" t="s">
        <v>53</v>
      </c>
    </row>
    <row r="26" spans="1:9" x14ac:dyDescent="0.5">
      <c r="A26" s="32" t="s">
        <v>21</v>
      </c>
      <c r="B26" s="43">
        <v>46164</v>
      </c>
      <c r="C26" s="32" t="s">
        <v>129</v>
      </c>
      <c r="D26" s="32" t="s">
        <v>22</v>
      </c>
      <c r="E26" s="32" t="s">
        <v>23</v>
      </c>
      <c r="F26" s="32" t="s">
        <v>178</v>
      </c>
      <c r="G26" s="32">
        <v>70</v>
      </c>
      <c r="H26" s="32">
        <v>20</v>
      </c>
      <c r="I26" s="32" t="s">
        <v>110</v>
      </c>
    </row>
    <row r="27" spans="1:9" x14ac:dyDescent="0.5">
      <c r="A27" s="6" t="s">
        <v>31</v>
      </c>
      <c r="B27" s="38">
        <v>46257</v>
      </c>
      <c r="C27" s="6" t="s">
        <v>121</v>
      </c>
      <c r="D27" s="6" t="s">
        <v>32</v>
      </c>
      <c r="E27" s="6" t="s">
        <v>33</v>
      </c>
      <c r="F27" s="6" t="s">
        <v>180</v>
      </c>
      <c r="G27" s="6">
        <v>90</v>
      </c>
      <c r="H27" s="6">
        <v>35</v>
      </c>
      <c r="I27" s="6" t="s">
        <v>17</v>
      </c>
    </row>
    <row r="28" spans="1:9" x14ac:dyDescent="0.5">
      <c r="A28" s="32" t="s">
        <v>85</v>
      </c>
      <c r="B28" s="43">
        <v>46166</v>
      </c>
      <c r="C28" s="32" t="s">
        <v>124</v>
      </c>
      <c r="D28" s="32" t="s">
        <v>71</v>
      </c>
      <c r="E28" s="32" t="s">
        <v>86</v>
      </c>
      <c r="F28" s="32" t="s">
        <v>182</v>
      </c>
      <c r="G28" s="32">
        <v>130</v>
      </c>
      <c r="H28" s="32">
        <v>5</v>
      </c>
      <c r="I28" s="32" t="s">
        <v>9</v>
      </c>
    </row>
    <row r="29" spans="1:9" x14ac:dyDescent="0.5">
      <c r="A29" s="6" t="s">
        <v>42</v>
      </c>
      <c r="B29" s="38">
        <v>46351</v>
      </c>
      <c r="C29" s="6" t="s">
        <v>184</v>
      </c>
      <c r="D29" s="6" t="s">
        <v>11</v>
      </c>
      <c r="E29" s="6" t="s">
        <v>30</v>
      </c>
      <c r="F29" s="6" t="s">
        <v>185</v>
      </c>
      <c r="G29" s="6">
        <v>90</v>
      </c>
      <c r="H29" s="6">
        <v>40</v>
      </c>
      <c r="I29" s="6" t="s">
        <v>110</v>
      </c>
    </row>
    <row r="30" spans="1:9" x14ac:dyDescent="0.5">
      <c r="A30" s="32" t="s">
        <v>56</v>
      </c>
      <c r="B30" s="43">
        <v>46049</v>
      </c>
      <c r="C30" s="32" t="s">
        <v>187</v>
      </c>
      <c r="D30" s="32" t="s">
        <v>7</v>
      </c>
      <c r="E30" s="32" t="s">
        <v>57</v>
      </c>
      <c r="F30" s="32" t="s">
        <v>188</v>
      </c>
      <c r="G30" s="32">
        <v>980</v>
      </c>
      <c r="H30" s="32">
        <v>10</v>
      </c>
      <c r="I30" s="32" t="s">
        <v>9</v>
      </c>
    </row>
    <row r="31" spans="1:9" x14ac:dyDescent="0.5">
      <c r="A31" s="6" t="s">
        <v>6</v>
      </c>
      <c r="B31" s="38">
        <v>46050</v>
      </c>
      <c r="C31" s="6" t="s">
        <v>129</v>
      </c>
      <c r="D31" s="6" t="s">
        <v>7</v>
      </c>
      <c r="E31" s="6" t="s">
        <v>8</v>
      </c>
      <c r="F31" s="6" t="s">
        <v>190</v>
      </c>
      <c r="G31" s="6">
        <v>1000</v>
      </c>
      <c r="H31" s="6">
        <v>30</v>
      </c>
      <c r="I31" s="6" t="s">
        <v>9</v>
      </c>
    </row>
    <row r="32" spans="1:9" x14ac:dyDescent="0.5">
      <c r="A32" s="32" t="s">
        <v>73</v>
      </c>
      <c r="B32" s="43">
        <v>46294</v>
      </c>
      <c r="C32" s="32" t="s">
        <v>124</v>
      </c>
      <c r="D32" s="32" t="s">
        <v>19</v>
      </c>
      <c r="E32" s="32" t="s">
        <v>74</v>
      </c>
      <c r="F32" s="32" t="s">
        <v>192</v>
      </c>
      <c r="G32" s="32">
        <v>800</v>
      </c>
      <c r="H32" s="32">
        <v>45</v>
      </c>
      <c r="I32" s="32" t="s">
        <v>9</v>
      </c>
    </row>
  </sheetData>
  <mergeCells count="6">
    <mergeCell ref="K5:Q5"/>
    <mergeCell ref="K6:Q8"/>
    <mergeCell ref="L11:P12"/>
    <mergeCell ref="L13:P14"/>
    <mergeCell ref="K11:K12"/>
    <mergeCell ref="K13:K14"/>
  </mergeCells>
  <conditionalFormatting sqref="G1:G1048576">
    <cfRule type="dataBar" priority="1">
      <dataBar>
        <cfvo type="min"/>
        <cfvo type="max"/>
        <color rgb="FF638EC6"/>
      </dataBar>
      <extLst>
        <ext xmlns:x14="http://schemas.microsoft.com/office/spreadsheetml/2009/9/main" uri="{B025F937-C7B1-47D3-B67F-A62EFF666E3E}">
          <x14:id>{237A34F5-5675-4840-954A-E855B07C6D7B}</x14:id>
        </ext>
      </extLst>
    </cfRule>
  </conditionalFormatting>
  <conditionalFormatting sqref="I1:I1048576">
    <cfRule type="containsText" dxfId="0" priority="2" operator="containsText" text="Electronics">
      <formula>NOT(ISERROR(SEARCH("Electronics",I1)))</formula>
    </cfRule>
  </conditionalFormatting>
  <printOptions horizontalCentered="1" verticalCentered="1"/>
  <pageMargins left="0.70866141732283472" right="0.70866141732283472" top="0.74803149606299213" bottom="0.74803149606299213" header="0.31496062992125984" footer="0.31496062992125984"/>
  <pageSetup paperSize="9" scale="135" orientation="portrait" r:id="rId1"/>
  <extLst>
    <ext xmlns:x14="http://schemas.microsoft.com/office/spreadsheetml/2009/9/main" uri="{78C0D931-6437-407d-A8EE-F0AAD7539E65}">
      <x14:conditionalFormattings>
        <x14:conditionalFormatting xmlns:xm="http://schemas.microsoft.com/office/excel/2006/main">
          <x14:cfRule type="dataBar" id="{237A34F5-5675-4840-954A-E855B07C6D7B}">
            <x14:dataBar minLength="0" maxLength="100" gradient="0">
              <x14:cfvo type="autoMin"/>
              <x14:cfvo type="autoMax"/>
              <x14:negativeFillColor rgb="FFFF0000"/>
              <x14:axisColor rgb="FF000000"/>
            </x14:dataBar>
          </x14:cfRule>
          <xm:sqref>G1:G1048576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Raw Data</vt:lpstr>
      <vt:lpstr>Cleaning</vt:lpstr>
      <vt:lpstr>Question 3</vt:lpstr>
      <vt:lpstr>Question 1</vt:lpstr>
      <vt:lpstr>Question 2</vt:lpstr>
      <vt:lpstr>Question 4</vt:lpstr>
      <vt:lpstr>Question 5</vt:lpstr>
      <vt:lpstr>Question 6</vt:lpstr>
      <vt:lpstr>Cleaning!Print_Area</vt:lpstr>
      <vt:lpstr>'Question 1'!Print_Area</vt:lpstr>
      <vt:lpstr>'Question 2'!Print_Area</vt:lpstr>
      <vt:lpstr>'Question 3'!Print_Area</vt:lpstr>
      <vt:lpstr>'Question 4'!Print_Area</vt:lpstr>
      <vt:lpstr>'Question 5'!Print_Area</vt:lpstr>
      <vt:lpstr>'Question 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 Kiruba</dc:creator>
  <cp:lastModifiedBy>Anush Kiruba</cp:lastModifiedBy>
  <cp:lastPrinted>2026-05-31T14:46:55Z</cp:lastPrinted>
  <dcterms:created xsi:type="dcterms:W3CDTF">2026-05-31T10:40:55Z</dcterms:created>
  <dcterms:modified xsi:type="dcterms:W3CDTF">2026-05-31T16:31:29Z</dcterms:modified>
</cp:coreProperties>
</file>